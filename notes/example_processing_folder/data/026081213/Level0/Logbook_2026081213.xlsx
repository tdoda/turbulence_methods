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louisenoel/Documents/Kdrive/Maniak/00_Affaires_Classees_Suisse/24_25_26_Master/00_Current/Master Thesis/Programming Datalakes/field/data/2026081213/Level0/"/>
    </mc:Choice>
  </mc:AlternateContent>
  <xr:revisionPtr revIDLastSave="0" documentId="13_ncr:1_{761C8F38-B8C0-F442-8C13-A318DF13825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Logbook_Gene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F44" i="1"/>
  <c r="F45" i="1"/>
  <c r="F46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F21" i="1"/>
  <c r="E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tc={9D423D80-FE21-1D42-BB8B-8193A11FC410}</author>
  </authors>
  <commentList>
    <comment ref="E1" authorId="0" shapeId="0" xr:uid="{9D423D80-FE21-1D42-BB8B-8193A11FC41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upward profiles: time when the profiler was released (profile starting time)</t>
      </text>
    </comment>
  </commentList>
</comments>
</file>

<file path=xl/sharedStrings.xml><?xml version="1.0" encoding="utf-8"?>
<sst xmlns="http://schemas.openxmlformats.org/spreadsheetml/2006/main" count="389" uniqueCount="73">
  <si>
    <t>Date</t>
  </si>
  <si>
    <t>Comments</t>
  </si>
  <si>
    <t>filename</t>
  </si>
  <si>
    <t>profID</t>
  </si>
  <si>
    <t>X_m</t>
  </si>
  <si>
    <t>Y_m</t>
  </si>
  <si>
    <t>Downward/Upward</t>
  </si>
  <si>
    <t>D</t>
  </si>
  <si>
    <t>T1</t>
  </si>
  <si>
    <t>T2</t>
  </si>
  <si>
    <t>S1</t>
  </si>
  <si>
    <t>S2</t>
  </si>
  <si>
    <t>C1</t>
  </si>
  <si>
    <t>hh_UTC_start</t>
  </si>
  <si>
    <t>mm_UTC_start</t>
  </si>
  <si>
    <t>hh_Local_start</t>
  </si>
  <si>
    <t>mm_Local_start</t>
  </si>
  <si>
    <t>hh_UTC_end</t>
  </si>
  <si>
    <t>hh_Local_end</t>
  </si>
  <si>
    <t>mm_UTC_end</t>
  </si>
  <si>
    <t>mm_Local_end</t>
  </si>
  <si>
    <t>Name_profile</t>
  </si>
  <si>
    <t>Profile_depth_m</t>
  </si>
  <si>
    <t>Serial_Number</t>
  </si>
  <si>
    <t>Example</t>
  </si>
  <si>
    <t>C2</t>
  </si>
  <si>
    <t>Instrument</t>
  </si>
  <si>
    <t>VMP</t>
  </si>
  <si>
    <t>P01</t>
  </si>
  <si>
    <t>P_offset_dbar</t>
  </si>
  <si>
    <t>Time set to UTC, calibration file not modified before depoyment, small weight</t>
  </si>
  <si>
    <t>MicroCTD</t>
  </si>
  <si>
    <t>DAT_020</t>
  </si>
  <si>
    <t>Local time for all profiles, small weight for all downward profiles, northern side of LeXPLORE, current towards South</t>
  </si>
  <si>
    <t>DAT_023</t>
  </si>
  <si>
    <t>U</t>
  </si>
  <si>
    <t>corde enroulées poids et ctd, mauvais, surement ralenti par la corde. Zodiac, pas bien marché</t>
  </si>
  <si>
    <t>ok</t>
  </si>
  <si>
    <t>macrophytes enlevés par jérémy</t>
  </si>
  <si>
    <t>DAT_024</t>
  </si>
  <si>
    <t>corde enroulée pas bon</t>
  </si>
  <si>
    <t>corde enroulée</t>
  </si>
  <si>
    <t>DAT_026</t>
  </si>
  <si>
    <t>DAT_027</t>
  </si>
  <si>
    <t>corde self 2x</t>
  </si>
  <si>
    <t>corde self a bit</t>
  </si>
  <si>
    <t>corde</t>
  </si>
  <si>
    <t>DAT_028</t>
  </si>
  <si>
    <t>ok, main rope a bit in weight rope (but far away?)</t>
  </si>
  <si>
    <t>corde self sur ctd</t>
  </si>
  <si>
    <t>ok, sunset eclipse</t>
  </si>
  <si>
    <t>cordre tres enroulée dans tête</t>
  </si>
  <si>
    <t>ok but ended below the platform</t>
  </si>
  <si>
    <t>DAT_029</t>
  </si>
  <si>
    <t>DAT_030</t>
  </si>
  <si>
    <t>DAT_031</t>
  </si>
  <si>
    <t>DAT_032</t>
  </si>
  <si>
    <t>DAT_033</t>
  </si>
  <si>
    <t>DAT_034</t>
  </si>
  <si>
    <t>rope a bit in weight rope but far away</t>
  </si>
  <si>
    <t>ok, touches platform at very end</t>
  </si>
  <si>
    <t>corde self capteurd</t>
  </si>
  <si>
    <t>rope self a bit</t>
  </si>
  <si>
    <t>DAT_035</t>
  </si>
  <si>
    <t>Location</t>
  </si>
  <si>
    <t>North</t>
  </si>
  <si>
    <t>West</t>
  </si>
  <si>
    <t>east</t>
  </si>
  <si>
    <t>west</t>
  </si>
  <si>
    <t>current towards South, rope was hold for a bit at the beginning</t>
  </si>
  <si>
    <t>current towards South</t>
  </si>
  <si>
    <t xml:space="preserve"> current towards South-East (again below Lexplore!)</t>
  </si>
  <si>
    <t>1st trial stayed on weight, profile might be shorter or in 2 part, the 2nd profile is free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</si>
</sst>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entury Gothic"/>
      <family val="2"/>
      <charset val="1"/>
    </font>
    <font>
      <sz val="11"/>
      <color rgb="FF9C0006"/>
      <name val="Calibri"/>
      <family val="2"/>
      <charset val="1"/>
    </font>
    <font>
      <sz val="11"/>
      <color theme="2" tint="-0.49998474074526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7CE"/>
        <bgColor rgb="FFCCCC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3" borderId="0" applyBorder="0" applyProtection="0"/>
  </cellStyleXfs>
  <cellXfs count="28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right" vertical="center"/>
    </xf>
    <xf numFmtId="1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1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righ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Excel Built-in Bad" xfId="2" xr:uid="{88070955-E48E-4170-B9FA-1C6ECF97D977}"/>
    <cellStyle name="Normal" xfId="0" builtinId="0"/>
    <cellStyle name="Normal 2" xfId="1" xr:uid="{E864D405-4461-456B-9686-D8235D6FB0E0}"/>
  </cellStyles>
  <dxfs count="0"/>
  <tableStyles count="0" defaultTableStyle="TableStyleMedium2" defaultPivotStyle="PivotStyleLight16"/>
  <colors>
    <mruColors>
      <color rgb="FFFFFFB7"/>
      <color rgb="FFF5CDFF"/>
      <color rgb="FFFFFF66"/>
      <color rgb="FFD4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y Doda" id="{EA229153-5A7A-49DB-A704-A16E1378CAE7}" userId="S::Tomy.Doda@unil.ch::023a5e24-f089-4e82-9406-b78528d427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1-12T10:25:46.52" personId="{EA229153-5A7A-49DB-A704-A16E1378CAE7}" id="{9D423D80-FE21-1D42-BB8B-8193A11FC410}">
    <text>For upward profiles: time when the profiler was released (profile starting time)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5"/>
  <sheetViews>
    <sheetView tabSelected="1" zoomScale="125" zoomScaleNormal="115" workbookViewId="0">
      <pane ySplit="2" topLeftCell="A89" activePane="bottomLeft" state="frozen"/>
      <selection pane="bottomLeft" activeCell="Z37" sqref="Z37"/>
    </sheetView>
  </sheetViews>
  <sheetFormatPr baseColWidth="10" defaultRowHeight="15" x14ac:dyDescent="0.2"/>
  <cols>
    <col min="1" max="1" width="10.83203125" style="27"/>
    <col min="5" max="5" width="4" customWidth="1"/>
    <col min="6" max="6" width="4.33203125" customWidth="1"/>
    <col min="8" max="8" width="4.5" customWidth="1"/>
    <col min="9" max="10" width="1.83203125" customWidth="1"/>
    <col min="11" max="11" width="1.5" customWidth="1"/>
    <col min="12" max="12" width="1.83203125" customWidth="1"/>
    <col min="13" max="13" width="3.1640625" customWidth="1"/>
    <col min="14" max="14" width="4.5" customWidth="1"/>
    <col min="15" max="15" width="2.1640625" customWidth="1"/>
    <col min="16" max="16" width="12.33203125" customWidth="1"/>
    <col min="17" max="17" width="2.83203125" customWidth="1"/>
    <col min="18" max="18" width="3.1640625" customWidth="1"/>
    <col min="19" max="19" width="2.6640625" customWidth="1"/>
    <col min="20" max="20" width="1.83203125" customWidth="1"/>
    <col min="21" max="21" width="2" customWidth="1"/>
    <col min="22" max="22" width="2.5" customWidth="1"/>
    <col min="23" max="23" width="3.83203125" customWidth="1"/>
    <col min="26" max="26" width="73.1640625" customWidth="1"/>
    <col min="27" max="27" width="7.6640625" customWidth="1"/>
  </cols>
  <sheetData>
    <row r="1" spans="1:28" x14ac:dyDescent="0.2">
      <c r="A1" s="10" t="s">
        <v>2</v>
      </c>
      <c r="B1" s="10" t="s">
        <v>3</v>
      </c>
      <c r="C1" s="10" t="s">
        <v>6</v>
      </c>
      <c r="D1" s="11" t="s">
        <v>0</v>
      </c>
      <c r="E1" s="10" t="s">
        <v>13</v>
      </c>
      <c r="F1" s="10" t="s">
        <v>14</v>
      </c>
      <c r="G1" s="10" t="s">
        <v>15</v>
      </c>
      <c r="H1" s="10" t="s">
        <v>16</v>
      </c>
      <c r="I1" s="12" t="s">
        <v>17</v>
      </c>
      <c r="J1" s="10" t="s">
        <v>19</v>
      </c>
      <c r="K1" s="12" t="s">
        <v>18</v>
      </c>
      <c r="L1" s="13" t="s">
        <v>20</v>
      </c>
      <c r="M1" s="14" t="s">
        <v>4</v>
      </c>
      <c r="N1" s="14" t="s">
        <v>5</v>
      </c>
      <c r="O1" s="10" t="s">
        <v>21</v>
      </c>
      <c r="P1" s="15" t="s">
        <v>22</v>
      </c>
      <c r="Q1" s="10" t="s">
        <v>26</v>
      </c>
      <c r="R1" s="10" t="s">
        <v>23</v>
      </c>
      <c r="S1" s="10" t="s">
        <v>8</v>
      </c>
      <c r="T1" s="10" t="s">
        <v>9</v>
      </c>
      <c r="U1" s="10" t="s">
        <v>10</v>
      </c>
      <c r="V1" s="10" t="s">
        <v>11</v>
      </c>
      <c r="W1" s="10" t="s">
        <v>12</v>
      </c>
      <c r="X1" s="10" t="s">
        <v>25</v>
      </c>
      <c r="Y1" s="10" t="s">
        <v>29</v>
      </c>
      <c r="Z1" s="10" t="s">
        <v>1</v>
      </c>
      <c r="AA1" s="10" t="s">
        <v>64</v>
      </c>
      <c r="AB1" s="10"/>
    </row>
    <row r="2" spans="1:28" x14ac:dyDescent="0.2">
      <c r="A2" s="16" t="s">
        <v>24</v>
      </c>
      <c r="B2" s="16">
        <v>1</v>
      </c>
      <c r="C2" s="16" t="s">
        <v>7</v>
      </c>
      <c r="D2" s="17">
        <v>45429</v>
      </c>
      <c r="E2" s="16">
        <v>20</v>
      </c>
      <c r="F2" s="18">
        <v>49</v>
      </c>
      <c r="G2" s="16">
        <v>22</v>
      </c>
      <c r="H2" s="18">
        <v>49</v>
      </c>
      <c r="I2" s="19">
        <v>20</v>
      </c>
      <c r="J2" s="18">
        <v>56</v>
      </c>
      <c r="K2" s="19">
        <v>22</v>
      </c>
      <c r="L2" s="20">
        <v>56</v>
      </c>
      <c r="M2" s="18">
        <v>540300</v>
      </c>
      <c r="N2" s="18">
        <v>150178</v>
      </c>
      <c r="O2" s="16" t="s">
        <v>28</v>
      </c>
      <c r="P2" s="21">
        <v>140</v>
      </c>
      <c r="Q2" s="16" t="s">
        <v>27</v>
      </c>
      <c r="R2" s="16">
        <v>28</v>
      </c>
      <c r="S2" s="16">
        <v>1699</v>
      </c>
      <c r="T2" s="16">
        <v>1704</v>
      </c>
      <c r="U2" s="16">
        <v>2020</v>
      </c>
      <c r="V2" s="16">
        <v>2080</v>
      </c>
      <c r="W2" s="16">
        <v>191</v>
      </c>
      <c r="X2" s="16">
        <v>190</v>
      </c>
      <c r="Y2" s="16"/>
      <c r="Z2" s="16" t="s">
        <v>30</v>
      </c>
    </row>
    <row r="3" spans="1:28" s="1" customFormat="1" x14ac:dyDescent="0.2">
      <c r="A3" s="26" t="s">
        <v>32</v>
      </c>
      <c r="B3" s="2">
        <v>1</v>
      </c>
      <c r="C3" s="2" t="s">
        <v>7</v>
      </c>
      <c r="D3" s="4">
        <v>46246</v>
      </c>
      <c r="E3" s="5">
        <v>8</v>
      </c>
      <c r="F3" s="6">
        <v>51</v>
      </c>
      <c r="G3" s="5">
        <v>10</v>
      </c>
      <c r="H3" s="6">
        <v>51</v>
      </c>
      <c r="I3" s="5"/>
      <c r="J3" s="6"/>
      <c r="K3" s="5">
        <v>10</v>
      </c>
      <c r="L3" s="6">
        <v>54</v>
      </c>
      <c r="M3" s="22"/>
      <c r="N3" s="22"/>
      <c r="O3" s="2"/>
      <c r="P3" s="1">
        <v>40</v>
      </c>
      <c r="Q3" s="2" t="s">
        <v>31</v>
      </c>
      <c r="R3" s="2">
        <v>310</v>
      </c>
      <c r="S3" s="2">
        <v>1680</v>
      </c>
      <c r="T3" s="2">
        <v>2032</v>
      </c>
      <c r="U3" s="2">
        <v>1731</v>
      </c>
      <c r="V3" s="2"/>
      <c r="W3" s="2">
        <v>304</v>
      </c>
      <c r="X3" s="2"/>
      <c r="Y3" s="2"/>
      <c r="Z3" s="6" t="s">
        <v>33</v>
      </c>
      <c r="AA3" s="1" t="s">
        <v>65</v>
      </c>
    </row>
    <row r="4" spans="1:28" s="1" customFormat="1" x14ac:dyDescent="0.2">
      <c r="A4" s="26" t="s">
        <v>32</v>
      </c>
      <c r="B4" s="2">
        <v>2</v>
      </c>
      <c r="C4" s="2" t="s">
        <v>7</v>
      </c>
      <c r="D4" s="4">
        <v>46246</v>
      </c>
      <c r="E4" s="5">
        <v>9</v>
      </c>
      <c r="F4" s="6">
        <v>0</v>
      </c>
      <c r="G4" s="5">
        <v>11</v>
      </c>
      <c r="H4" s="6">
        <v>0</v>
      </c>
      <c r="I4" s="5"/>
      <c r="J4" s="6"/>
      <c r="K4" s="5">
        <v>11</v>
      </c>
      <c r="L4" s="6">
        <v>3</v>
      </c>
      <c r="M4" s="22"/>
      <c r="N4" s="22"/>
      <c r="O4" s="2"/>
      <c r="P4" s="1">
        <v>40</v>
      </c>
      <c r="Q4" s="2" t="s">
        <v>31</v>
      </c>
      <c r="R4" s="2">
        <v>310</v>
      </c>
      <c r="S4" s="2">
        <v>1680</v>
      </c>
      <c r="T4" s="2">
        <v>2032</v>
      </c>
      <c r="U4" s="2">
        <v>1731</v>
      </c>
      <c r="V4" s="2"/>
      <c r="W4" s="2">
        <v>304</v>
      </c>
      <c r="X4" s="2"/>
      <c r="Y4" s="2"/>
      <c r="Z4" s="6" t="s">
        <v>69</v>
      </c>
      <c r="AA4" s="1" t="s">
        <v>65</v>
      </c>
    </row>
    <row r="5" spans="1:28" s="1" customFormat="1" x14ac:dyDescent="0.2">
      <c r="A5" s="26" t="s">
        <v>32</v>
      </c>
      <c r="B5" s="2">
        <v>3</v>
      </c>
      <c r="C5" s="2" t="s">
        <v>7</v>
      </c>
      <c r="D5" s="4">
        <v>46246</v>
      </c>
      <c r="E5" s="5">
        <v>9</v>
      </c>
      <c r="F5" s="6">
        <v>9</v>
      </c>
      <c r="G5" s="5">
        <v>11</v>
      </c>
      <c r="H5" s="6">
        <v>9</v>
      </c>
      <c r="I5" s="5"/>
      <c r="J5" s="6"/>
      <c r="K5" s="23"/>
      <c r="L5" s="24"/>
      <c r="M5" s="22"/>
      <c r="N5" s="22"/>
      <c r="O5" s="2"/>
      <c r="P5" s="1">
        <v>40</v>
      </c>
      <c r="Q5" s="2" t="s">
        <v>31</v>
      </c>
      <c r="R5" s="2">
        <v>310</v>
      </c>
      <c r="S5" s="2">
        <v>1680</v>
      </c>
      <c r="T5" s="2">
        <v>2032</v>
      </c>
      <c r="U5" s="2">
        <v>1731</v>
      </c>
      <c r="V5" s="2"/>
      <c r="W5" s="2">
        <v>304</v>
      </c>
      <c r="X5" s="2"/>
      <c r="Y5" s="2"/>
      <c r="Z5" s="6" t="s">
        <v>70</v>
      </c>
      <c r="AA5" s="1" t="s">
        <v>65</v>
      </c>
    </row>
    <row r="6" spans="1:28" s="1" customFormat="1" x14ac:dyDescent="0.2">
      <c r="A6" s="26" t="s">
        <v>32</v>
      </c>
      <c r="B6" s="2">
        <v>4</v>
      </c>
      <c r="C6" s="2" t="s">
        <v>7</v>
      </c>
      <c r="D6" s="4">
        <v>46246</v>
      </c>
      <c r="E6" s="5">
        <v>9</v>
      </c>
      <c r="F6" s="6">
        <v>23</v>
      </c>
      <c r="G6" s="5">
        <v>11</v>
      </c>
      <c r="H6" s="6">
        <v>23</v>
      </c>
      <c r="I6" s="5"/>
      <c r="J6" s="6"/>
      <c r="K6" s="5"/>
      <c r="L6" s="6"/>
      <c r="M6" s="22"/>
      <c r="N6" s="22"/>
      <c r="O6" s="2"/>
      <c r="P6" s="1">
        <v>40</v>
      </c>
      <c r="Q6" s="2" t="s">
        <v>31</v>
      </c>
      <c r="R6" s="2">
        <v>310</v>
      </c>
      <c r="S6" s="2">
        <v>1680</v>
      </c>
      <c r="T6" s="2">
        <v>2032</v>
      </c>
      <c r="U6" s="2">
        <v>1731</v>
      </c>
      <c r="V6" s="2"/>
      <c r="W6" s="2">
        <v>304</v>
      </c>
      <c r="X6" s="2"/>
      <c r="Y6" s="2"/>
      <c r="Z6" s="6" t="s">
        <v>71</v>
      </c>
      <c r="AA6" s="1" t="s">
        <v>66</v>
      </c>
    </row>
    <row r="7" spans="1:28" x14ac:dyDescent="0.2">
      <c r="A7" s="27" t="s">
        <v>34</v>
      </c>
      <c r="B7" s="3">
        <v>1</v>
      </c>
      <c r="C7" s="3" t="s">
        <v>35</v>
      </c>
      <c r="D7" s="7">
        <v>46246</v>
      </c>
      <c r="E7" s="8">
        <v>10</v>
      </c>
      <c r="F7" s="9">
        <v>20</v>
      </c>
      <c r="G7" s="8">
        <v>12</v>
      </c>
      <c r="H7" s="9">
        <v>20</v>
      </c>
      <c r="I7" s="8"/>
      <c r="J7" s="9"/>
      <c r="K7" s="8"/>
      <c r="L7" s="9"/>
      <c r="M7" s="25"/>
      <c r="N7" s="25"/>
      <c r="O7" s="3"/>
      <c r="P7">
        <v>20</v>
      </c>
      <c r="Q7" s="3" t="s">
        <v>31</v>
      </c>
      <c r="R7" s="3">
        <v>310</v>
      </c>
      <c r="S7" s="3">
        <v>1680</v>
      </c>
      <c r="T7" s="3">
        <v>2032</v>
      </c>
      <c r="U7" s="3">
        <v>1731</v>
      </c>
      <c r="V7" s="3"/>
      <c r="W7" s="3">
        <v>304</v>
      </c>
      <c r="X7" s="3"/>
      <c r="Y7" s="3"/>
      <c r="Z7" s="9" t="s">
        <v>36</v>
      </c>
      <c r="AA7" t="s">
        <v>66</v>
      </c>
    </row>
    <row r="8" spans="1:28" x14ac:dyDescent="0.2">
      <c r="A8" s="27" t="s">
        <v>34</v>
      </c>
      <c r="B8" s="3">
        <v>2</v>
      </c>
      <c r="C8" s="3" t="s">
        <v>35</v>
      </c>
      <c r="D8" s="7">
        <v>46246</v>
      </c>
      <c r="E8" s="8">
        <v>10</v>
      </c>
      <c r="F8" s="9">
        <v>43</v>
      </c>
      <c r="G8" s="8">
        <v>12</v>
      </c>
      <c r="H8" s="9">
        <v>43</v>
      </c>
      <c r="I8" s="8"/>
      <c r="J8" s="9"/>
      <c r="K8" s="8">
        <v>12</v>
      </c>
      <c r="L8" s="9">
        <v>49</v>
      </c>
      <c r="M8" s="25"/>
      <c r="N8" s="25"/>
      <c r="O8" s="3"/>
      <c r="P8">
        <v>25</v>
      </c>
      <c r="Q8" s="3" t="s">
        <v>31</v>
      </c>
      <c r="R8" s="3">
        <v>310</v>
      </c>
      <c r="S8" s="3">
        <v>1680</v>
      </c>
      <c r="T8" s="3">
        <v>2032</v>
      </c>
      <c r="U8" s="3">
        <v>1731</v>
      </c>
      <c r="V8" s="3"/>
      <c r="W8" s="3">
        <v>304</v>
      </c>
      <c r="X8" s="3"/>
      <c r="Y8" s="3"/>
      <c r="Z8" s="9" t="s">
        <v>37</v>
      </c>
      <c r="AA8" t="s">
        <v>67</v>
      </c>
    </row>
    <row r="9" spans="1:28" x14ac:dyDescent="0.2">
      <c r="A9" s="27" t="s">
        <v>34</v>
      </c>
      <c r="B9" s="3">
        <v>3</v>
      </c>
      <c r="C9" s="3" t="s">
        <v>35</v>
      </c>
      <c r="D9" s="7">
        <v>46246</v>
      </c>
      <c r="E9" s="8">
        <v>10</v>
      </c>
      <c r="F9" s="9">
        <v>56</v>
      </c>
      <c r="G9" s="8">
        <v>12</v>
      </c>
      <c r="H9" s="9">
        <v>56</v>
      </c>
      <c r="I9" s="8"/>
      <c r="J9" s="9"/>
      <c r="K9" s="8">
        <v>12</v>
      </c>
      <c r="L9" s="9">
        <v>25</v>
      </c>
      <c r="M9" s="25"/>
      <c r="N9" s="25"/>
      <c r="O9" s="3"/>
      <c r="P9">
        <v>25</v>
      </c>
      <c r="Q9" s="3" t="s">
        <v>31</v>
      </c>
      <c r="R9" s="3">
        <v>310</v>
      </c>
      <c r="S9" s="3">
        <v>1680</v>
      </c>
      <c r="T9" s="3">
        <v>2032</v>
      </c>
      <c r="U9" s="3">
        <v>1731</v>
      </c>
      <c r="V9" s="3"/>
      <c r="W9" s="3">
        <v>304</v>
      </c>
      <c r="X9" s="3"/>
      <c r="Y9" s="3"/>
      <c r="Z9" s="9" t="s">
        <v>37</v>
      </c>
      <c r="AA9" t="s">
        <v>67</v>
      </c>
    </row>
    <row r="10" spans="1:28" x14ac:dyDescent="0.2">
      <c r="A10" s="27" t="s">
        <v>34</v>
      </c>
      <c r="B10" s="3">
        <v>4</v>
      </c>
      <c r="C10" s="3" t="s">
        <v>35</v>
      </c>
      <c r="D10" s="7">
        <v>46246</v>
      </c>
      <c r="E10" s="8">
        <v>11</v>
      </c>
      <c r="F10" s="9">
        <v>32</v>
      </c>
      <c r="G10" s="8">
        <v>13</v>
      </c>
      <c r="H10" s="9">
        <v>32</v>
      </c>
      <c r="I10" s="8"/>
      <c r="J10" s="9"/>
      <c r="K10" s="8">
        <v>13</v>
      </c>
      <c r="L10" s="9">
        <v>39</v>
      </c>
      <c r="M10" s="25"/>
      <c r="N10" s="25"/>
      <c r="O10" s="3"/>
      <c r="P10">
        <v>25</v>
      </c>
      <c r="Q10" s="3" t="s">
        <v>31</v>
      </c>
      <c r="R10" s="3">
        <v>310</v>
      </c>
      <c r="S10" s="3">
        <v>1680</v>
      </c>
      <c r="T10" s="3">
        <v>2032</v>
      </c>
      <c r="U10" s="3">
        <v>1731</v>
      </c>
      <c r="V10" s="3"/>
      <c r="W10" s="3">
        <v>304</v>
      </c>
      <c r="X10" s="3"/>
      <c r="Y10" s="3"/>
      <c r="Z10" s="9" t="s">
        <v>38</v>
      </c>
      <c r="AA10" t="s">
        <v>67</v>
      </c>
    </row>
    <row r="11" spans="1:28" x14ac:dyDescent="0.2">
      <c r="A11" s="27" t="s">
        <v>34</v>
      </c>
      <c r="B11" s="3">
        <v>5</v>
      </c>
      <c r="C11" s="3" t="s">
        <v>35</v>
      </c>
      <c r="D11" s="7">
        <v>46246</v>
      </c>
      <c r="E11" s="8">
        <v>11</v>
      </c>
      <c r="F11" s="9">
        <v>55</v>
      </c>
      <c r="G11" s="8">
        <v>13</v>
      </c>
      <c r="H11" s="9">
        <v>55</v>
      </c>
      <c r="I11" s="8"/>
      <c r="J11" s="9"/>
      <c r="K11" s="8"/>
      <c r="L11" s="9"/>
      <c r="M11" s="25"/>
      <c r="N11" s="25"/>
      <c r="O11" s="3"/>
      <c r="P11">
        <v>25</v>
      </c>
      <c r="Q11" s="3" t="s">
        <v>31</v>
      </c>
      <c r="R11" s="3">
        <v>310</v>
      </c>
      <c r="S11" s="3">
        <v>1680</v>
      </c>
      <c r="T11" s="3">
        <v>2032</v>
      </c>
      <c r="U11" s="3">
        <v>1731</v>
      </c>
      <c r="V11" s="3"/>
      <c r="W11" s="3">
        <v>304</v>
      </c>
      <c r="X11" s="3"/>
      <c r="Y11" s="3"/>
      <c r="Z11" s="9" t="s">
        <v>37</v>
      </c>
      <c r="AA11" t="s">
        <v>67</v>
      </c>
    </row>
    <row r="12" spans="1:28" s="1" customFormat="1" x14ac:dyDescent="0.2">
      <c r="A12" s="26" t="s">
        <v>39</v>
      </c>
      <c r="B12" s="2">
        <v>1</v>
      </c>
      <c r="C12" s="2" t="s">
        <v>35</v>
      </c>
      <c r="D12" s="4">
        <v>46246</v>
      </c>
      <c r="E12" s="5">
        <v>12</v>
      </c>
      <c r="F12" s="6">
        <v>45</v>
      </c>
      <c r="G12" s="5">
        <v>14</v>
      </c>
      <c r="H12" s="6">
        <v>45</v>
      </c>
      <c r="I12" s="5"/>
      <c r="J12" s="6"/>
      <c r="K12" s="5"/>
      <c r="L12" s="6"/>
      <c r="M12" s="22"/>
      <c r="N12" s="22"/>
      <c r="O12" s="2"/>
      <c r="P12" s="1">
        <v>25</v>
      </c>
      <c r="Q12" s="2" t="s">
        <v>31</v>
      </c>
      <c r="R12" s="2">
        <v>310</v>
      </c>
      <c r="S12" s="2">
        <v>1680</v>
      </c>
      <c r="T12" s="2">
        <v>2032</v>
      </c>
      <c r="U12" s="2">
        <v>1731</v>
      </c>
      <c r="V12" s="2"/>
      <c r="W12" s="2">
        <v>304</v>
      </c>
      <c r="X12" s="2"/>
      <c r="Y12" s="2"/>
      <c r="Z12" s="6" t="s">
        <v>40</v>
      </c>
      <c r="AA12" s="1" t="s">
        <v>67</v>
      </c>
    </row>
    <row r="13" spans="1:28" s="1" customFormat="1" x14ac:dyDescent="0.2">
      <c r="A13" s="26" t="s">
        <v>39</v>
      </c>
      <c r="B13" s="2">
        <v>2</v>
      </c>
      <c r="C13" s="2" t="s">
        <v>35</v>
      </c>
      <c r="D13" s="4">
        <v>46246</v>
      </c>
      <c r="E13" s="5">
        <v>13</v>
      </c>
      <c r="F13" s="6">
        <v>5</v>
      </c>
      <c r="G13" s="5">
        <v>15</v>
      </c>
      <c r="H13" s="6">
        <v>5</v>
      </c>
      <c r="I13" s="5"/>
      <c r="J13" s="6"/>
      <c r="K13" s="5"/>
      <c r="L13" s="6"/>
      <c r="M13" s="22"/>
      <c r="N13" s="22"/>
      <c r="O13" s="2"/>
      <c r="P13" s="1">
        <v>25</v>
      </c>
      <c r="Q13" s="2" t="s">
        <v>31</v>
      </c>
      <c r="R13" s="2">
        <v>310</v>
      </c>
      <c r="S13" s="2">
        <v>1680</v>
      </c>
      <c r="T13" s="2">
        <v>2032</v>
      </c>
      <c r="U13" s="2">
        <v>1731</v>
      </c>
      <c r="V13" s="2"/>
      <c r="W13" s="2">
        <v>304</v>
      </c>
      <c r="X13" s="2"/>
      <c r="Y13" s="2"/>
      <c r="Z13" s="6" t="s">
        <v>37</v>
      </c>
      <c r="AA13" s="1" t="s">
        <v>67</v>
      </c>
    </row>
    <row r="14" spans="1:28" s="1" customFormat="1" x14ac:dyDescent="0.2">
      <c r="A14" s="26" t="s">
        <v>39</v>
      </c>
      <c r="B14" s="2">
        <v>3</v>
      </c>
      <c r="C14" s="2" t="s">
        <v>35</v>
      </c>
      <c r="D14" s="4">
        <v>46246</v>
      </c>
      <c r="E14" s="5">
        <v>13</v>
      </c>
      <c r="F14" s="6">
        <v>15</v>
      </c>
      <c r="G14" s="5">
        <v>15</v>
      </c>
      <c r="H14" s="6">
        <v>15</v>
      </c>
      <c r="I14" s="5"/>
      <c r="J14" s="6"/>
      <c r="K14" s="5"/>
      <c r="L14" s="6"/>
      <c r="M14" s="22"/>
      <c r="N14" s="22"/>
      <c r="O14" s="2"/>
      <c r="P14" s="1">
        <v>25</v>
      </c>
      <c r="Q14" s="2" t="s">
        <v>31</v>
      </c>
      <c r="R14" s="2">
        <v>310</v>
      </c>
      <c r="S14" s="2">
        <v>1680</v>
      </c>
      <c r="T14" s="2">
        <v>2032</v>
      </c>
      <c r="U14" s="2">
        <v>1731</v>
      </c>
      <c r="V14" s="2"/>
      <c r="W14" s="2">
        <v>304</v>
      </c>
      <c r="X14" s="2"/>
      <c r="Y14" s="2"/>
      <c r="Z14" s="6" t="s">
        <v>37</v>
      </c>
      <c r="AA14" s="1" t="s">
        <v>67</v>
      </c>
    </row>
    <row r="15" spans="1:28" s="1" customFormat="1" x14ac:dyDescent="0.2">
      <c r="A15" s="26" t="s">
        <v>39</v>
      </c>
      <c r="B15" s="2">
        <v>4</v>
      </c>
      <c r="C15" s="2" t="s">
        <v>35</v>
      </c>
      <c r="D15" s="4">
        <v>46246</v>
      </c>
      <c r="E15" s="5">
        <v>13</v>
      </c>
      <c r="F15" s="6">
        <v>25</v>
      </c>
      <c r="G15" s="5">
        <v>15</v>
      </c>
      <c r="H15" s="6">
        <v>25</v>
      </c>
      <c r="I15" s="5"/>
      <c r="J15" s="6"/>
      <c r="K15" s="5"/>
      <c r="L15" s="6"/>
      <c r="M15" s="22"/>
      <c r="N15" s="22"/>
      <c r="O15" s="2"/>
      <c r="P15" s="1">
        <v>25</v>
      </c>
      <c r="Q15" s="2" t="s">
        <v>31</v>
      </c>
      <c r="R15" s="2">
        <v>310</v>
      </c>
      <c r="S15" s="2">
        <v>1680</v>
      </c>
      <c r="T15" s="2">
        <v>2032</v>
      </c>
      <c r="U15" s="2">
        <v>1731</v>
      </c>
      <c r="V15" s="2"/>
      <c r="W15" s="2">
        <v>304</v>
      </c>
      <c r="X15" s="2"/>
      <c r="Y15" s="2"/>
      <c r="Z15" s="6" t="s">
        <v>49</v>
      </c>
      <c r="AA15" s="1" t="s">
        <v>67</v>
      </c>
    </row>
    <row r="16" spans="1:28" s="1" customFormat="1" x14ac:dyDescent="0.2">
      <c r="A16" s="26" t="s">
        <v>39</v>
      </c>
      <c r="B16" s="2">
        <v>5</v>
      </c>
      <c r="C16" s="2" t="s">
        <v>35</v>
      </c>
      <c r="D16" s="4">
        <v>46246</v>
      </c>
      <c r="E16" s="5">
        <v>13</v>
      </c>
      <c r="F16" s="6">
        <v>37</v>
      </c>
      <c r="G16" s="5">
        <v>15</v>
      </c>
      <c r="H16" s="6">
        <v>37</v>
      </c>
      <c r="I16" s="5"/>
      <c r="J16" s="6"/>
      <c r="K16" s="5"/>
      <c r="L16" s="6"/>
      <c r="M16" s="22"/>
      <c r="N16" s="22"/>
      <c r="O16" s="2"/>
      <c r="P16" s="1">
        <v>25</v>
      </c>
      <c r="Q16" s="2" t="s">
        <v>31</v>
      </c>
      <c r="R16" s="2">
        <v>310</v>
      </c>
      <c r="S16" s="2">
        <v>1680</v>
      </c>
      <c r="T16" s="2">
        <v>2032</v>
      </c>
      <c r="U16" s="2">
        <v>1731</v>
      </c>
      <c r="V16" s="2"/>
      <c r="W16" s="2">
        <v>304</v>
      </c>
      <c r="X16" s="2"/>
      <c r="Y16" s="2"/>
      <c r="Z16" s="6" t="s">
        <v>37</v>
      </c>
      <c r="AA16" s="1" t="s">
        <v>67</v>
      </c>
    </row>
    <row r="17" spans="1:27" s="1" customFormat="1" x14ac:dyDescent="0.2">
      <c r="A17" s="26" t="s">
        <v>39</v>
      </c>
      <c r="B17" s="2">
        <v>6</v>
      </c>
      <c r="C17" s="2" t="s">
        <v>35</v>
      </c>
      <c r="D17" s="4">
        <v>46246</v>
      </c>
      <c r="E17" s="5">
        <v>13</v>
      </c>
      <c r="F17" s="6">
        <v>52</v>
      </c>
      <c r="G17" s="5">
        <v>15</v>
      </c>
      <c r="H17" s="6">
        <v>52</v>
      </c>
      <c r="I17" s="5"/>
      <c r="J17" s="6"/>
      <c r="K17" s="5"/>
      <c r="L17" s="6"/>
      <c r="M17" s="22"/>
      <c r="N17" s="22"/>
      <c r="O17" s="2"/>
      <c r="P17" s="1">
        <v>25</v>
      </c>
      <c r="Q17" s="2" t="s">
        <v>31</v>
      </c>
      <c r="R17" s="2">
        <v>310</v>
      </c>
      <c r="S17" s="2">
        <v>1680</v>
      </c>
      <c r="T17" s="2">
        <v>2032</v>
      </c>
      <c r="U17" s="2">
        <v>1731</v>
      </c>
      <c r="V17" s="2"/>
      <c r="W17" s="2">
        <v>304</v>
      </c>
      <c r="X17" s="2"/>
      <c r="Y17" s="2"/>
      <c r="Z17" s="6" t="s">
        <v>37</v>
      </c>
      <c r="AA17" s="1" t="s">
        <v>67</v>
      </c>
    </row>
    <row r="18" spans="1:27" s="1" customFormat="1" x14ac:dyDescent="0.2">
      <c r="A18" s="26" t="s">
        <v>39</v>
      </c>
      <c r="B18" s="2">
        <v>7</v>
      </c>
      <c r="C18" s="2" t="s">
        <v>35</v>
      </c>
      <c r="D18" s="4">
        <v>46246</v>
      </c>
      <c r="E18" s="5">
        <v>14</v>
      </c>
      <c r="F18" s="6">
        <v>2</v>
      </c>
      <c r="G18" s="5">
        <v>16</v>
      </c>
      <c r="H18" s="6">
        <v>2</v>
      </c>
      <c r="I18" s="5"/>
      <c r="J18" s="6"/>
      <c r="K18" s="5"/>
      <c r="L18" s="6"/>
      <c r="M18" s="22"/>
      <c r="N18" s="22"/>
      <c r="O18" s="2"/>
      <c r="P18" s="1">
        <v>25</v>
      </c>
      <c r="Q18" s="2" t="s">
        <v>31</v>
      </c>
      <c r="R18" s="2">
        <v>310</v>
      </c>
      <c r="S18" s="2">
        <v>1680</v>
      </c>
      <c r="T18" s="2">
        <v>2032</v>
      </c>
      <c r="U18" s="2">
        <v>1731</v>
      </c>
      <c r="V18" s="2"/>
      <c r="W18" s="2">
        <v>304</v>
      </c>
      <c r="X18" s="2"/>
      <c r="Y18" s="2"/>
      <c r="Z18" s="6" t="s">
        <v>37</v>
      </c>
      <c r="AA18" s="1" t="s">
        <v>67</v>
      </c>
    </row>
    <row r="19" spans="1:27" s="1" customFormat="1" x14ac:dyDescent="0.2">
      <c r="A19" s="26" t="s">
        <v>39</v>
      </c>
      <c r="B19" s="2">
        <v>8</v>
      </c>
      <c r="C19" s="2" t="s">
        <v>35</v>
      </c>
      <c r="D19" s="4">
        <v>46246</v>
      </c>
      <c r="E19" s="5">
        <v>14</v>
      </c>
      <c r="F19" s="6">
        <v>15</v>
      </c>
      <c r="G19" s="5">
        <v>16</v>
      </c>
      <c r="H19" s="6">
        <v>15</v>
      </c>
      <c r="I19" s="5"/>
      <c r="J19" s="6"/>
      <c r="K19" s="5"/>
      <c r="L19" s="6"/>
      <c r="M19" s="22"/>
      <c r="N19" s="22"/>
      <c r="O19" s="2"/>
      <c r="P19" s="1">
        <v>25</v>
      </c>
      <c r="Q19" s="2" t="s">
        <v>31</v>
      </c>
      <c r="R19" s="2">
        <v>310</v>
      </c>
      <c r="S19" s="2">
        <v>1680</v>
      </c>
      <c r="T19" s="2">
        <v>2032</v>
      </c>
      <c r="U19" s="2">
        <v>1731</v>
      </c>
      <c r="V19" s="2"/>
      <c r="W19" s="2">
        <v>304</v>
      </c>
      <c r="X19" s="2"/>
      <c r="Y19" s="2"/>
      <c r="Z19" s="6" t="s">
        <v>37</v>
      </c>
      <c r="AA19" s="1" t="s">
        <v>67</v>
      </c>
    </row>
    <row r="20" spans="1:27" s="1" customFormat="1" x14ac:dyDescent="0.2">
      <c r="A20" s="26" t="s">
        <v>39</v>
      </c>
      <c r="B20" s="2">
        <v>9</v>
      </c>
      <c r="C20" s="2" t="s">
        <v>35</v>
      </c>
      <c r="D20" s="4">
        <v>46246</v>
      </c>
      <c r="E20" s="5">
        <v>14</v>
      </c>
      <c r="F20" s="6">
        <v>30</v>
      </c>
      <c r="G20" s="5">
        <v>16</v>
      </c>
      <c r="H20" s="6">
        <v>30</v>
      </c>
      <c r="I20" s="5"/>
      <c r="J20" s="6"/>
      <c r="K20" s="5"/>
      <c r="L20" s="6"/>
      <c r="M20" s="22"/>
      <c r="N20" s="22"/>
      <c r="O20" s="2"/>
      <c r="P20" s="1">
        <v>25</v>
      </c>
      <c r="Q20" s="2" t="s">
        <v>31</v>
      </c>
      <c r="R20" s="2">
        <v>310</v>
      </c>
      <c r="S20" s="2">
        <v>1680</v>
      </c>
      <c r="T20" s="2">
        <v>2032</v>
      </c>
      <c r="U20" s="2">
        <v>1731</v>
      </c>
      <c r="V20" s="2"/>
      <c r="W20" s="2">
        <v>304</v>
      </c>
      <c r="X20" s="2"/>
      <c r="Y20" s="2"/>
      <c r="Z20" s="6" t="s">
        <v>41</v>
      </c>
      <c r="AA20" s="1" t="s">
        <v>67</v>
      </c>
    </row>
    <row r="21" spans="1:27" x14ac:dyDescent="0.2">
      <c r="A21" s="27" t="s">
        <v>42</v>
      </c>
      <c r="B21" s="3">
        <v>1</v>
      </c>
      <c r="C21" s="3" t="s">
        <v>35</v>
      </c>
      <c r="D21" s="7">
        <v>46246</v>
      </c>
      <c r="E21">
        <f>G21-2</f>
        <v>15</v>
      </c>
      <c r="F21">
        <f>H21</f>
        <v>32</v>
      </c>
      <c r="G21" s="8">
        <v>17</v>
      </c>
      <c r="H21" s="9">
        <v>32</v>
      </c>
      <c r="I21" s="8"/>
      <c r="J21" s="9"/>
      <c r="K21" s="8"/>
      <c r="L21" s="9"/>
      <c r="M21" s="25"/>
      <c r="N21" s="25"/>
      <c r="O21" s="3"/>
      <c r="Q21" s="3" t="s">
        <v>31</v>
      </c>
      <c r="R21" s="3">
        <v>310</v>
      </c>
      <c r="S21" s="3">
        <v>1680</v>
      </c>
      <c r="T21" s="3">
        <v>2032</v>
      </c>
      <c r="U21" s="3">
        <v>1731</v>
      </c>
      <c r="V21" s="3"/>
      <c r="W21" s="3">
        <v>304</v>
      </c>
      <c r="X21" s="3"/>
      <c r="Y21" s="3"/>
      <c r="Z21" s="9" t="s">
        <v>46</v>
      </c>
      <c r="AA21" t="s">
        <v>67</v>
      </c>
    </row>
    <row r="22" spans="1:27" x14ac:dyDescent="0.2">
      <c r="A22" s="27" t="s">
        <v>42</v>
      </c>
      <c r="B22" s="3">
        <v>2</v>
      </c>
      <c r="C22" s="3" t="s">
        <v>35</v>
      </c>
      <c r="D22" s="7">
        <v>46246</v>
      </c>
      <c r="E22">
        <f t="shared" ref="E22:E75" si="0">G22-2</f>
        <v>16</v>
      </c>
      <c r="F22">
        <f t="shared" ref="F22:F75" si="1">H22</f>
        <v>5</v>
      </c>
      <c r="G22" s="8">
        <v>18</v>
      </c>
      <c r="H22" s="9">
        <v>5</v>
      </c>
      <c r="I22" s="8"/>
      <c r="J22" s="9"/>
      <c r="K22" s="8"/>
      <c r="L22" s="9"/>
      <c r="M22" s="25"/>
      <c r="N22" s="25"/>
      <c r="O22" s="3"/>
      <c r="Q22" s="3" t="s">
        <v>31</v>
      </c>
      <c r="R22" s="3">
        <v>310</v>
      </c>
      <c r="S22" s="3">
        <v>1680</v>
      </c>
      <c r="T22" s="3">
        <v>2032</v>
      </c>
      <c r="U22" s="3">
        <v>1731</v>
      </c>
      <c r="V22" s="3"/>
      <c r="W22" s="3">
        <v>304</v>
      </c>
      <c r="X22" s="3"/>
      <c r="Y22" s="3"/>
      <c r="Z22" s="9" t="s">
        <v>37</v>
      </c>
      <c r="AA22" t="s">
        <v>67</v>
      </c>
    </row>
    <row r="23" spans="1:27" x14ac:dyDescent="0.2">
      <c r="A23" s="27" t="s">
        <v>42</v>
      </c>
      <c r="B23" s="3">
        <v>3</v>
      </c>
      <c r="C23" s="3" t="s">
        <v>35</v>
      </c>
      <c r="D23" s="7">
        <v>46246</v>
      </c>
      <c r="E23">
        <f t="shared" si="0"/>
        <v>16</v>
      </c>
      <c r="F23">
        <f t="shared" si="1"/>
        <v>20</v>
      </c>
      <c r="G23" s="8">
        <v>18</v>
      </c>
      <c r="H23" s="9">
        <v>20</v>
      </c>
      <c r="I23" s="8"/>
      <c r="J23" s="9"/>
      <c r="K23" s="8"/>
      <c r="L23" s="9"/>
      <c r="M23" s="25"/>
      <c r="N23" s="25"/>
      <c r="O23" s="3"/>
      <c r="Q23" s="3" t="s">
        <v>31</v>
      </c>
      <c r="R23" s="3">
        <v>310</v>
      </c>
      <c r="S23" s="3">
        <v>1680</v>
      </c>
      <c r="T23" s="3">
        <v>2032</v>
      </c>
      <c r="U23" s="3">
        <v>1731</v>
      </c>
      <c r="V23" s="3"/>
      <c r="W23" s="3">
        <v>304</v>
      </c>
      <c r="X23" s="3"/>
      <c r="Y23" s="3"/>
      <c r="Z23" s="9" t="s">
        <v>37</v>
      </c>
      <c r="AA23" t="s">
        <v>67</v>
      </c>
    </row>
    <row r="24" spans="1:27" x14ac:dyDescent="0.2">
      <c r="A24" s="27" t="s">
        <v>42</v>
      </c>
      <c r="B24" s="3">
        <v>4</v>
      </c>
      <c r="C24" s="3" t="s">
        <v>35</v>
      </c>
      <c r="D24" s="7">
        <v>46246</v>
      </c>
      <c r="E24">
        <f t="shared" si="0"/>
        <v>16</v>
      </c>
      <c r="F24">
        <f t="shared" si="1"/>
        <v>35</v>
      </c>
      <c r="G24" s="8">
        <v>18</v>
      </c>
      <c r="H24" s="9">
        <v>35</v>
      </c>
      <c r="I24" s="8"/>
      <c r="J24" s="9"/>
      <c r="K24" s="8"/>
      <c r="L24" s="9"/>
      <c r="M24" s="25"/>
      <c r="N24" s="25"/>
      <c r="O24" s="3"/>
      <c r="Q24" s="3" t="s">
        <v>31</v>
      </c>
      <c r="R24" s="3">
        <v>310</v>
      </c>
      <c r="S24" s="3">
        <v>1680</v>
      </c>
      <c r="T24" s="3">
        <v>2032</v>
      </c>
      <c r="U24" s="3">
        <v>1731</v>
      </c>
      <c r="V24" s="3"/>
      <c r="W24" s="3">
        <v>304</v>
      </c>
      <c r="X24" s="3"/>
      <c r="Y24" s="3"/>
      <c r="Z24" s="9" t="s">
        <v>45</v>
      </c>
      <c r="AA24" t="s">
        <v>67</v>
      </c>
    </row>
    <row r="25" spans="1:27" x14ac:dyDescent="0.2">
      <c r="A25" s="27" t="s">
        <v>42</v>
      </c>
      <c r="B25" s="3">
        <v>5</v>
      </c>
      <c r="C25" s="3" t="s">
        <v>35</v>
      </c>
      <c r="D25" s="7">
        <v>46246</v>
      </c>
      <c r="E25">
        <f t="shared" si="0"/>
        <v>16</v>
      </c>
      <c r="F25">
        <f t="shared" si="1"/>
        <v>52</v>
      </c>
      <c r="G25" s="8">
        <v>18</v>
      </c>
      <c r="H25" s="9">
        <v>52</v>
      </c>
      <c r="I25" s="8"/>
      <c r="J25" s="9"/>
      <c r="K25" s="8"/>
      <c r="L25" s="9"/>
      <c r="M25" s="25"/>
      <c r="N25" s="25"/>
      <c r="O25" s="3"/>
      <c r="Q25" s="3" t="s">
        <v>31</v>
      </c>
      <c r="R25" s="3">
        <v>310</v>
      </c>
      <c r="S25" s="3">
        <v>1680</v>
      </c>
      <c r="T25" s="3">
        <v>2032</v>
      </c>
      <c r="U25" s="3">
        <v>1731</v>
      </c>
      <c r="V25" s="3"/>
      <c r="W25" s="3">
        <v>304</v>
      </c>
      <c r="X25" s="3"/>
      <c r="Y25" s="3"/>
      <c r="Z25" s="9" t="s">
        <v>37</v>
      </c>
      <c r="AA25" t="s">
        <v>67</v>
      </c>
    </row>
    <row r="26" spans="1:27" x14ac:dyDescent="0.2">
      <c r="A26" s="27" t="s">
        <v>42</v>
      </c>
      <c r="B26" s="3">
        <v>6</v>
      </c>
      <c r="C26" s="3" t="s">
        <v>35</v>
      </c>
      <c r="D26" s="7">
        <v>46246</v>
      </c>
      <c r="E26">
        <f t="shared" si="0"/>
        <v>17</v>
      </c>
      <c r="F26">
        <f t="shared" si="1"/>
        <v>5</v>
      </c>
      <c r="G26" s="8">
        <v>19</v>
      </c>
      <c r="H26" s="9">
        <v>5</v>
      </c>
      <c r="I26" s="8"/>
      <c r="J26" s="9"/>
      <c r="K26" s="8"/>
      <c r="L26" s="9"/>
      <c r="M26" s="25"/>
      <c r="N26" s="25"/>
      <c r="O26" s="3"/>
      <c r="Q26" s="3" t="s">
        <v>31</v>
      </c>
      <c r="R26" s="3">
        <v>310</v>
      </c>
      <c r="S26" s="3">
        <v>1680</v>
      </c>
      <c r="T26" s="3">
        <v>2032</v>
      </c>
      <c r="U26" s="3">
        <v>1731</v>
      </c>
      <c r="V26" s="3"/>
      <c r="W26" s="3">
        <v>304</v>
      </c>
      <c r="X26" s="3"/>
      <c r="Y26" s="3"/>
      <c r="Z26" s="9" t="s">
        <v>37</v>
      </c>
      <c r="AA26" t="s">
        <v>67</v>
      </c>
    </row>
    <row r="27" spans="1:27" s="1" customFormat="1" x14ac:dyDescent="0.2">
      <c r="A27" s="26" t="s">
        <v>43</v>
      </c>
      <c r="B27" s="2">
        <v>1</v>
      </c>
      <c r="C27" s="2" t="s">
        <v>35</v>
      </c>
      <c r="D27" s="4">
        <v>46246</v>
      </c>
      <c r="E27" s="1">
        <f t="shared" si="0"/>
        <v>18</v>
      </c>
      <c r="F27" s="1">
        <f t="shared" si="1"/>
        <v>3</v>
      </c>
      <c r="G27" s="5">
        <v>20</v>
      </c>
      <c r="H27" s="6">
        <v>3</v>
      </c>
      <c r="P27" s="1">
        <v>25</v>
      </c>
      <c r="Q27" s="2" t="s">
        <v>31</v>
      </c>
      <c r="R27" s="2">
        <v>310</v>
      </c>
      <c r="S27" s="2">
        <v>1680</v>
      </c>
      <c r="T27" s="2">
        <v>2032</v>
      </c>
      <c r="U27" s="2">
        <v>1731</v>
      </c>
      <c r="V27" s="2"/>
      <c r="W27" s="2">
        <v>304</v>
      </c>
      <c r="Z27" s="1" t="s">
        <v>37</v>
      </c>
      <c r="AA27" s="1" t="s">
        <v>67</v>
      </c>
    </row>
    <row r="28" spans="1:27" s="1" customFormat="1" x14ac:dyDescent="0.2">
      <c r="A28" s="26" t="s">
        <v>43</v>
      </c>
      <c r="B28" s="2">
        <v>2</v>
      </c>
      <c r="C28" s="2" t="s">
        <v>35</v>
      </c>
      <c r="D28" s="4">
        <v>46246</v>
      </c>
      <c r="E28" s="1">
        <f t="shared" si="0"/>
        <v>18</v>
      </c>
      <c r="F28" s="1">
        <f t="shared" si="1"/>
        <v>13</v>
      </c>
      <c r="G28" s="5">
        <v>20</v>
      </c>
      <c r="H28" s="6">
        <v>13</v>
      </c>
      <c r="P28" s="1">
        <v>25</v>
      </c>
      <c r="Q28" s="2" t="s">
        <v>31</v>
      </c>
      <c r="R28" s="2">
        <v>310</v>
      </c>
      <c r="S28" s="2">
        <v>1680</v>
      </c>
      <c r="T28" s="2">
        <v>2032</v>
      </c>
      <c r="U28" s="2">
        <v>1731</v>
      </c>
      <c r="V28" s="2"/>
      <c r="W28" s="2">
        <v>304</v>
      </c>
      <c r="Z28" s="1" t="s">
        <v>37</v>
      </c>
      <c r="AA28" s="1" t="s">
        <v>67</v>
      </c>
    </row>
    <row r="29" spans="1:27" s="1" customFormat="1" x14ac:dyDescent="0.2">
      <c r="A29" s="26" t="s">
        <v>43</v>
      </c>
      <c r="B29" s="2">
        <v>3</v>
      </c>
      <c r="C29" s="2" t="s">
        <v>35</v>
      </c>
      <c r="D29" s="4">
        <v>46246</v>
      </c>
      <c r="E29" s="1">
        <f t="shared" si="0"/>
        <v>18</v>
      </c>
      <c r="F29" s="1">
        <f t="shared" si="1"/>
        <v>23</v>
      </c>
      <c r="G29" s="5">
        <v>20</v>
      </c>
      <c r="H29" s="6">
        <v>23</v>
      </c>
      <c r="P29" s="1">
        <v>25</v>
      </c>
      <c r="Q29" s="2" t="s">
        <v>31</v>
      </c>
      <c r="R29" s="2">
        <v>310</v>
      </c>
      <c r="S29" s="2">
        <v>1680</v>
      </c>
      <c r="T29" s="2">
        <v>2032</v>
      </c>
      <c r="U29" s="2">
        <v>1731</v>
      </c>
      <c r="V29" s="2"/>
      <c r="W29" s="2">
        <v>304</v>
      </c>
      <c r="Z29" s="1" t="s">
        <v>37</v>
      </c>
      <c r="AA29" s="1" t="s">
        <v>67</v>
      </c>
    </row>
    <row r="30" spans="1:27" s="1" customFormat="1" x14ac:dyDescent="0.2">
      <c r="A30" s="26" t="s">
        <v>43</v>
      </c>
      <c r="B30" s="2">
        <v>4</v>
      </c>
      <c r="C30" s="2" t="s">
        <v>35</v>
      </c>
      <c r="D30" s="4">
        <v>46246</v>
      </c>
      <c r="E30" s="1">
        <f t="shared" si="0"/>
        <v>18</v>
      </c>
      <c r="F30" s="1">
        <f t="shared" si="1"/>
        <v>37</v>
      </c>
      <c r="G30" s="5">
        <v>20</v>
      </c>
      <c r="H30" s="6">
        <v>37</v>
      </c>
      <c r="P30" s="1">
        <v>25</v>
      </c>
      <c r="Q30" s="2" t="s">
        <v>31</v>
      </c>
      <c r="R30" s="2">
        <v>310</v>
      </c>
      <c r="S30" s="2">
        <v>1680</v>
      </c>
      <c r="T30" s="2">
        <v>2032</v>
      </c>
      <c r="U30" s="2">
        <v>1731</v>
      </c>
      <c r="V30" s="2"/>
      <c r="W30" s="2">
        <v>304</v>
      </c>
      <c r="Z30" s="1" t="s">
        <v>50</v>
      </c>
      <c r="AA30" s="1" t="s">
        <v>67</v>
      </c>
    </row>
    <row r="31" spans="1:27" s="1" customFormat="1" x14ac:dyDescent="0.2">
      <c r="A31" s="26" t="s">
        <v>43</v>
      </c>
      <c r="B31" s="2">
        <v>5</v>
      </c>
      <c r="C31" s="2" t="s">
        <v>35</v>
      </c>
      <c r="D31" s="4">
        <v>46246</v>
      </c>
      <c r="E31" s="1">
        <f t="shared" si="0"/>
        <v>18</v>
      </c>
      <c r="F31" s="1">
        <f t="shared" si="1"/>
        <v>52</v>
      </c>
      <c r="G31" s="5">
        <v>20</v>
      </c>
      <c r="H31" s="6">
        <v>52</v>
      </c>
      <c r="P31" s="1">
        <v>25</v>
      </c>
      <c r="Q31" s="2" t="s">
        <v>31</v>
      </c>
      <c r="R31" s="2">
        <v>310</v>
      </c>
      <c r="S31" s="2">
        <v>1680</v>
      </c>
      <c r="T31" s="2">
        <v>2032</v>
      </c>
      <c r="U31" s="2">
        <v>1731</v>
      </c>
      <c r="V31" s="2"/>
      <c r="W31" s="2">
        <v>304</v>
      </c>
      <c r="Z31" s="1" t="s">
        <v>37</v>
      </c>
      <c r="AA31" s="1" t="s">
        <v>67</v>
      </c>
    </row>
    <row r="32" spans="1:27" s="1" customFormat="1" x14ac:dyDescent="0.2">
      <c r="A32" s="26" t="s">
        <v>43</v>
      </c>
      <c r="B32" s="2">
        <v>6</v>
      </c>
      <c r="C32" s="2" t="s">
        <v>35</v>
      </c>
      <c r="D32" s="4">
        <v>46246</v>
      </c>
      <c r="E32" s="1">
        <f t="shared" si="0"/>
        <v>19</v>
      </c>
      <c r="F32" s="1">
        <f t="shared" si="1"/>
        <v>7</v>
      </c>
      <c r="G32" s="5">
        <v>21</v>
      </c>
      <c r="H32" s="6">
        <v>7</v>
      </c>
      <c r="P32" s="1">
        <v>25</v>
      </c>
      <c r="Q32" s="2" t="s">
        <v>31</v>
      </c>
      <c r="R32" s="2">
        <v>310</v>
      </c>
      <c r="S32" s="2">
        <v>1680</v>
      </c>
      <c r="T32" s="2">
        <v>2032</v>
      </c>
      <c r="U32" s="2">
        <v>1731</v>
      </c>
      <c r="V32" s="2"/>
      <c r="W32" s="2">
        <v>304</v>
      </c>
      <c r="Z32" s="1" t="s">
        <v>37</v>
      </c>
      <c r="AA32" s="1" t="s">
        <v>67</v>
      </c>
    </row>
    <row r="33" spans="1:27" s="1" customFormat="1" x14ac:dyDescent="0.2">
      <c r="A33" s="26" t="s">
        <v>43</v>
      </c>
      <c r="B33" s="2">
        <v>7</v>
      </c>
      <c r="C33" s="2" t="s">
        <v>35</v>
      </c>
      <c r="D33" s="4">
        <v>46246</v>
      </c>
      <c r="E33" s="1">
        <f t="shared" si="0"/>
        <v>19</v>
      </c>
      <c r="F33" s="1">
        <f t="shared" si="1"/>
        <v>23</v>
      </c>
      <c r="G33" s="5">
        <v>21</v>
      </c>
      <c r="H33" s="6">
        <v>23</v>
      </c>
      <c r="P33" s="1">
        <v>25</v>
      </c>
      <c r="Q33" s="2" t="s">
        <v>31</v>
      </c>
      <c r="R33" s="2">
        <v>310</v>
      </c>
      <c r="S33" s="2">
        <v>1680</v>
      </c>
      <c r="T33" s="2">
        <v>2032</v>
      </c>
      <c r="U33" s="2">
        <v>1731</v>
      </c>
      <c r="V33" s="2"/>
      <c r="W33" s="2">
        <v>304</v>
      </c>
      <c r="Z33" s="1" t="s">
        <v>37</v>
      </c>
      <c r="AA33" s="1" t="s">
        <v>67</v>
      </c>
    </row>
    <row r="34" spans="1:27" s="1" customFormat="1" x14ac:dyDescent="0.2">
      <c r="A34" s="26" t="s">
        <v>43</v>
      </c>
      <c r="B34" s="2">
        <v>8</v>
      </c>
      <c r="C34" s="2" t="s">
        <v>35</v>
      </c>
      <c r="D34" s="4">
        <v>46246</v>
      </c>
      <c r="E34" s="1">
        <f t="shared" si="0"/>
        <v>19</v>
      </c>
      <c r="F34" s="1">
        <f t="shared" si="1"/>
        <v>37</v>
      </c>
      <c r="G34" s="5">
        <v>21</v>
      </c>
      <c r="H34" s="6">
        <v>37</v>
      </c>
      <c r="P34" s="1">
        <v>25</v>
      </c>
      <c r="Q34" s="2" t="s">
        <v>31</v>
      </c>
      <c r="R34" s="2">
        <v>310</v>
      </c>
      <c r="S34" s="2">
        <v>1680</v>
      </c>
      <c r="T34" s="2">
        <v>2032</v>
      </c>
      <c r="U34" s="2">
        <v>1731</v>
      </c>
      <c r="V34" s="2"/>
      <c r="W34" s="2">
        <v>304</v>
      </c>
      <c r="Z34" s="1" t="s">
        <v>37</v>
      </c>
      <c r="AA34" s="1" t="s">
        <v>67</v>
      </c>
    </row>
    <row r="35" spans="1:27" x14ac:dyDescent="0.2">
      <c r="A35" s="27" t="s">
        <v>47</v>
      </c>
      <c r="B35" s="3">
        <v>1</v>
      </c>
      <c r="C35" s="3" t="s">
        <v>35</v>
      </c>
      <c r="D35" s="7">
        <v>46246</v>
      </c>
      <c r="E35">
        <f t="shared" si="0"/>
        <v>20</v>
      </c>
      <c r="F35">
        <f t="shared" si="1"/>
        <v>0</v>
      </c>
      <c r="G35" s="8">
        <v>22</v>
      </c>
      <c r="H35" s="9">
        <v>0</v>
      </c>
      <c r="P35">
        <v>25</v>
      </c>
      <c r="Q35" s="3" t="s">
        <v>31</v>
      </c>
      <c r="R35" s="3">
        <v>310</v>
      </c>
      <c r="S35" s="3">
        <v>1680</v>
      </c>
      <c r="T35" s="3">
        <v>2032</v>
      </c>
      <c r="U35" s="3">
        <v>1731</v>
      </c>
      <c r="V35" s="3"/>
      <c r="W35" s="3">
        <v>304</v>
      </c>
      <c r="Z35" t="s">
        <v>37</v>
      </c>
      <c r="AA35" t="s">
        <v>67</v>
      </c>
    </row>
    <row r="36" spans="1:27" x14ac:dyDescent="0.2">
      <c r="A36" s="27" t="s">
        <v>47</v>
      </c>
      <c r="B36" s="3">
        <v>2</v>
      </c>
      <c r="C36" s="3" t="s">
        <v>35</v>
      </c>
      <c r="D36" s="7">
        <v>46246</v>
      </c>
      <c r="E36">
        <f t="shared" si="0"/>
        <v>20</v>
      </c>
      <c r="F36">
        <f t="shared" si="1"/>
        <v>12</v>
      </c>
      <c r="G36" s="8">
        <v>22</v>
      </c>
      <c r="H36" s="9">
        <v>12</v>
      </c>
      <c r="P36">
        <v>25</v>
      </c>
      <c r="Q36" s="3" t="s">
        <v>31</v>
      </c>
      <c r="R36" s="3">
        <v>310</v>
      </c>
      <c r="S36" s="3">
        <v>1680</v>
      </c>
      <c r="T36" s="3">
        <v>2032</v>
      </c>
      <c r="U36" s="3">
        <v>1731</v>
      </c>
      <c r="V36" s="3"/>
      <c r="W36" s="3">
        <v>304</v>
      </c>
      <c r="Z36" t="s">
        <v>37</v>
      </c>
      <c r="AA36" t="s">
        <v>67</v>
      </c>
    </row>
    <row r="37" spans="1:27" x14ac:dyDescent="0.2">
      <c r="A37" s="27" t="s">
        <v>47</v>
      </c>
      <c r="B37" s="3">
        <v>3</v>
      </c>
      <c r="C37" s="3" t="s">
        <v>35</v>
      </c>
      <c r="D37" s="7">
        <v>46246</v>
      </c>
      <c r="E37">
        <f t="shared" si="0"/>
        <v>20</v>
      </c>
      <c r="F37">
        <f t="shared" si="1"/>
        <v>25</v>
      </c>
      <c r="G37" s="8">
        <v>22</v>
      </c>
      <c r="H37" s="9">
        <v>25</v>
      </c>
      <c r="P37">
        <v>25</v>
      </c>
      <c r="Q37" s="3" t="s">
        <v>31</v>
      </c>
      <c r="R37" s="3">
        <v>310</v>
      </c>
      <c r="S37" s="3">
        <v>1680</v>
      </c>
      <c r="T37" s="3">
        <v>2032</v>
      </c>
      <c r="U37" s="3">
        <v>1731</v>
      </c>
      <c r="V37" s="3"/>
      <c r="W37" s="3">
        <v>304</v>
      </c>
      <c r="Z37" t="s">
        <v>37</v>
      </c>
      <c r="AA37" t="s">
        <v>67</v>
      </c>
    </row>
    <row r="38" spans="1:27" x14ac:dyDescent="0.2">
      <c r="A38" s="27" t="s">
        <v>47</v>
      </c>
      <c r="B38" s="3">
        <v>4</v>
      </c>
      <c r="C38" s="3" t="s">
        <v>35</v>
      </c>
      <c r="D38" s="7">
        <v>46246</v>
      </c>
      <c r="E38">
        <f t="shared" si="0"/>
        <v>20</v>
      </c>
      <c r="F38">
        <f t="shared" si="1"/>
        <v>35</v>
      </c>
      <c r="G38" s="8">
        <v>22</v>
      </c>
      <c r="H38" s="9">
        <v>35</v>
      </c>
      <c r="P38">
        <v>25</v>
      </c>
      <c r="Q38" s="3" t="s">
        <v>31</v>
      </c>
      <c r="R38" s="3">
        <v>310</v>
      </c>
      <c r="S38" s="3">
        <v>1680</v>
      </c>
      <c r="T38" s="3">
        <v>2032</v>
      </c>
      <c r="U38" s="3">
        <v>1731</v>
      </c>
      <c r="V38" s="3"/>
      <c r="W38" s="3">
        <v>304</v>
      </c>
      <c r="Z38" t="s">
        <v>45</v>
      </c>
      <c r="AA38" t="s">
        <v>67</v>
      </c>
    </row>
    <row r="39" spans="1:27" x14ac:dyDescent="0.2">
      <c r="A39" s="27" t="s">
        <v>47</v>
      </c>
      <c r="B39" s="3">
        <v>5</v>
      </c>
      <c r="C39" s="3" t="s">
        <v>35</v>
      </c>
      <c r="D39" s="7">
        <v>46246</v>
      </c>
      <c r="E39">
        <f t="shared" si="0"/>
        <v>20</v>
      </c>
      <c r="F39">
        <f t="shared" si="1"/>
        <v>45</v>
      </c>
      <c r="G39" s="8">
        <v>22</v>
      </c>
      <c r="H39" s="9">
        <v>45</v>
      </c>
      <c r="P39">
        <v>25</v>
      </c>
      <c r="Q39" s="3" t="s">
        <v>31</v>
      </c>
      <c r="R39" s="3">
        <v>310</v>
      </c>
      <c r="S39" s="3">
        <v>1680</v>
      </c>
      <c r="T39" s="3">
        <v>2032</v>
      </c>
      <c r="U39" s="3">
        <v>1731</v>
      </c>
      <c r="V39" s="3"/>
      <c r="W39" s="3">
        <v>304</v>
      </c>
      <c r="Z39" t="s">
        <v>37</v>
      </c>
      <c r="AA39" t="s">
        <v>67</v>
      </c>
    </row>
    <row r="40" spans="1:27" x14ac:dyDescent="0.2">
      <c r="A40" s="27" t="s">
        <v>47</v>
      </c>
      <c r="B40" s="3">
        <v>6</v>
      </c>
      <c r="C40" s="3" t="s">
        <v>35</v>
      </c>
      <c r="D40" s="7">
        <v>46246</v>
      </c>
      <c r="E40">
        <f t="shared" si="0"/>
        <v>20</v>
      </c>
      <c r="F40">
        <f t="shared" si="1"/>
        <v>55</v>
      </c>
      <c r="G40" s="8">
        <v>22</v>
      </c>
      <c r="H40" s="9">
        <v>55</v>
      </c>
      <c r="P40">
        <v>25</v>
      </c>
      <c r="Q40" s="3" t="s">
        <v>31</v>
      </c>
      <c r="R40" s="3">
        <v>310</v>
      </c>
      <c r="S40" s="3">
        <v>1680</v>
      </c>
      <c r="T40" s="3">
        <v>2032</v>
      </c>
      <c r="U40" s="3">
        <v>1731</v>
      </c>
      <c r="V40" s="3"/>
      <c r="W40" s="3">
        <v>304</v>
      </c>
      <c r="Z40" t="s">
        <v>44</v>
      </c>
      <c r="AA40" t="s">
        <v>67</v>
      </c>
    </row>
    <row r="41" spans="1:27" x14ac:dyDescent="0.2">
      <c r="A41" s="27" t="s">
        <v>47</v>
      </c>
      <c r="B41" s="3">
        <v>7</v>
      </c>
      <c r="C41" s="3" t="s">
        <v>35</v>
      </c>
      <c r="D41" s="7">
        <v>46246</v>
      </c>
      <c r="E41">
        <f t="shared" si="0"/>
        <v>21</v>
      </c>
      <c r="F41">
        <f t="shared" si="1"/>
        <v>10</v>
      </c>
      <c r="G41" s="8">
        <v>23</v>
      </c>
      <c r="H41" s="9">
        <v>10</v>
      </c>
      <c r="P41">
        <v>25</v>
      </c>
      <c r="Q41" s="3" t="s">
        <v>31</v>
      </c>
      <c r="R41" s="3">
        <v>310</v>
      </c>
      <c r="S41" s="3">
        <v>1680</v>
      </c>
      <c r="T41" s="3">
        <v>2032</v>
      </c>
      <c r="U41" s="3">
        <v>1731</v>
      </c>
      <c r="V41" s="3"/>
      <c r="W41" s="3">
        <v>304</v>
      </c>
      <c r="Z41" t="s">
        <v>37</v>
      </c>
      <c r="AA41" t="s">
        <v>67</v>
      </c>
    </row>
    <row r="42" spans="1:27" x14ac:dyDescent="0.2">
      <c r="A42" s="27" t="s">
        <v>47</v>
      </c>
      <c r="B42" s="3">
        <v>8</v>
      </c>
      <c r="C42" s="3" t="s">
        <v>35</v>
      </c>
      <c r="D42" s="7">
        <v>46246</v>
      </c>
      <c r="E42">
        <f t="shared" si="0"/>
        <v>21</v>
      </c>
      <c r="F42">
        <f t="shared" si="1"/>
        <v>20</v>
      </c>
      <c r="G42" s="8">
        <v>23</v>
      </c>
      <c r="H42" s="9">
        <v>20</v>
      </c>
      <c r="P42">
        <v>25</v>
      </c>
      <c r="Q42" s="3" t="s">
        <v>31</v>
      </c>
      <c r="R42" s="3">
        <v>310</v>
      </c>
      <c r="S42" s="3">
        <v>1680</v>
      </c>
      <c r="T42" s="3">
        <v>2032</v>
      </c>
      <c r="U42" s="3">
        <v>1731</v>
      </c>
      <c r="V42" s="3"/>
      <c r="W42" s="3">
        <v>304</v>
      </c>
      <c r="Z42" t="s">
        <v>48</v>
      </c>
      <c r="AA42" t="s">
        <v>67</v>
      </c>
    </row>
    <row r="43" spans="1:27" s="1" customFormat="1" x14ac:dyDescent="0.2">
      <c r="A43" s="26" t="s">
        <v>53</v>
      </c>
      <c r="B43" s="2">
        <v>1</v>
      </c>
      <c r="C43" s="2" t="s">
        <v>35</v>
      </c>
      <c r="D43" s="4">
        <v>46246</v>
      </c>
      <c r="E43" s="1">
        <f t="shared" si="0"/>
        <v>21</v>
      </c>
      <c r="F43" s="1">
        <f t="shared" si="1"/>
        <v>55</v>
      </c>
      <c r="G43" s="5">
        <v>23</v>
      </c>
      <c r="H43" s="6">
        <v>55</v>
      </c>
      <c r="P43" s="1">
        <v>25</v>
      </c>
      <c r="Q43" s="2" t="s">
        <v>31</v>
      </c>
      <c r="R43" s="2">
        <v>310</v>
      </c>
      <c r="S43" s="2">
        <v>1680</v>
      </c>
      <c r="T43" s="2">
        <v>2032</v>
      </c>
      <c r="U43" s="2">
        <v>1731</v>
      </c>
      <c r="V43" s="2"/>
      <c r="W43" s="2">
        <v>304</v>
      </c>
      <c r="Z43" s="1" t="s">
        <v>72</v>
      </c>
      <c r="AA43" s="1" t="s">
        <v>67</v>
      </c>
    </row>
    <row r="44" spans="1:27" s="1" customFormat="1" x14ac:dyDescent="0.2">
      <c r="A44" s="26" t="s">
        <v>53</v>
      </c>
      <c r="B44" s="2">
        <v>2</v>
      </c>
      <c r="C44" s="2" t="s">
        <v>35</v>
      </c>
      <c r="D44" s="4">
        <v>46247</v>
      </c>
      <c r="E44" s="1">
        <v>22</v>
      </c>
      <c r="F44" s="1">
        <f t="shared" si="1"/>
        <v>7</v>
      </c>
      <c r="G44" s="5">
        <v>0</v>
      </c>
      <c r="H44" s="6">
        <v>7</v>
      </c>
      <c r="P44" s="1">
        <v>25</v>
      </c>
      <c r="Q44" s="2" t="s">
        <v>31</v>
      </c>
      <c r="R44" s="2">
        <v>310</v>
      </c>
      <c r="S44" s="2">
        <v>1680</v>
      </c>
      <c r="T44" s="2">
        <v>2032</v>
      </c>
      <c r="U44" s="2">
        <v>1731</v>
      </c>
      <c r="V44" s="2"/>
      <c r="W44" s="2">
        <v>304</v>
      </c>
      <c r="Z44" s="1" t="s">
        <v>37</v>
      </c>
      <c r="AA44" s="1" t="s">
        <v>67</v>
      </c>
    </row>
    <row r="45" spans="1:27" s="1" customFormat="1" x14ac:dyDescent="0.2">
      <c r="A45" s="26" t="s">
        <v>53</v>
      </c>
      <c r="B45" s="2">
        <v>3</v>
      </c>
      <c r="C45" s="2" t="s">
        <v>35</v>
      </c>
      <c r="D45" s="4">
        <v>46247</v>
      </c>
      <c r="E45" s="1">
        <v>22</v>
      </c>
      <c r="F45" s="1">
        <f t="shared" si="1"/>
        <v>19</v>
      </c>
      <c r="G45" s="5">
        <v>0</v>
      </c>
      <c r="H45" s="6">
        <v>19</v>
      </c>
      <c r="P45" s="1">
        <v>25</v>
      </c>
      <c r="Q45" s="2" t="s">
        <v>31</v>
      </c>
      <c r="R45" s="2">
        <v>310</v>
      </c>
      <c r="S45" s="2">
        <v>1680</v>
      </c>
      <c r="T45" s="2">
        <v>2032</v>
      </c>
      <c r="U45" s="2">
        <v>1731</v>
      </c>
      <c r="V45" s="2"/>
      <c r="W45" s="2">
        <v>304</v>
      </c>
      <c r="Z45" s="1" t="s">
        <v>37</v>
      </c>
      <c r="AA45" s="1" t="s">
        <v>67</v>
      </c>
    </row>
    <row r="46" spans="1:27" s="1" customFormat="1" x14ac:dyDescent="0.2">
      <c r="A46" s="26" t="s">
        <v>53</v>
      </c>
      <c r="B46" s="2">
        <v>4</v>
      </c>
      <c r="C46" s="2" t="s">
        <v>35</v>
      </c>
      <c r="D46" s="4">
        <v>46247</v>
      </c>
      <c r="E46" s="1">
        <v>22</v>
      </c>
      <c r="F46" s="1">
        <f t="shared" si="1"/>
        <v>30</v>
      </c>
      <c r="G46" s="5">
        <v>0</v>
      </c>
      <c r="H46" s="6">
        <v>30</v>
      </c>
      <c r="P46" s="1">
        <v>25</v>
      </c>
      <c r="Q46" s="2" t="s">
        <v>31</v>
      </c>
      <c r="R46" s="2">
        <v>310</v>
      </c>
      <c r="S46" s="2">
        <v>1680</v>
      </c>
      <c r="T46" s="2">
        <v>2032</v>
      </c>
      <c r="U46" s="2">
        <v>1731</v>
      </c>
      <c r="V46" s="2"/>
      <c r="W46" s="2">
        <v>304</v>
      </c>
      <c r="Z46" s="1" t="s">
        <v>51</v>
      </c>
      <c r="AA46" s="1" t="s">
        <v>67</v>
      </c>
    </row>
    <row r="47" spans="1:27" s="1" customFormat="1" x14ac:dyDescent="0.2">
      <c r="A47" s="26" t="s">
        <v>53</v>
      </c>
      <c r="B47" s="2">
        <v>5</v>
      </c>
      <c r="C47" s="2" t="s">
        <v>35</v>
      </c>
      <c r="D47" s="4">
        <v>46247</v>
      </c>
      <c r="E47" s="1">
        <v>22</v>
      </c>
      <c r="F47" s="1">
        <f t="shared" si="1"/>
        <v>42</v>
      </c>
      <c r="G47" s="5">
        <v>0</v>
      </c>
      <c r="H47" s="6">
        <v>42</v>
      </c>
      <c r="P47" s="1">
        <v>25</v>
      </c>
      <c r="Q47" s="2" t="s">
        <v>31</v>
      </c>
      <c r="R47" s="2">
        <v>310</v>
      </c>
      <c r="S47" s="2">
        <v>1680</v>
      </c>
      <c r="T47" s="2">
        <v>2032</v>
      </c>
      <c r="U47" s="2">
        <v>1731</v>
      </c>
      <c r="V47" s="2"/>
      <c r="W47" s="2">
        <v>304</v>
      </c>
      <c r="Z47" s="1" t="s">
        <v>52</v>
      </c>
      <c r="AA47" s="1" t="s">
        <v>67</v>
      </c>
    </row>
    <row r="48" spans="1:27" x14ac:dyDescent="0.2">
      <c r="A48" s="27" t="s">
        <v>54</v>
      </c>
      <c r="B48" s="3">
        <v>1</v>
      </c>
      <c r="C48" s="3" t="s">
        <v>7</v>
      </c>
      <c r="D48" s="7">
        <v>46247</v>
      </c>
      <c r="E48">
        <f t="shared" si="0"/>
        <v>0</v>
      </c>
      <c r="F48">
        <f t="shared" si="1"/>
        <v>25</v>
      </c>
      <c r="G48" s="8">
        <v>2</v>
      </c>
      <c r="H48" s="9">
        <v>25</v>
      </c>
      <c r="P48">
        <v>40</v>
      </c>
      <c r="Q48" s="3" t="s">
        <v>31</v>
      </c>
      <c r="R48" s="3">
        <v>310</v>
      </c>
      <c r="S48" s="3">
        <v>1680</v>
      </c>
      <c r="T48" s="3">
        <v>2032</v>
      </c>
      <c r="U48" s="3">
        <v>1731</v>
      </c>
      <c r="V48" s="3"/>
      <c r="W48" s="3">
        <v>304</v>
      </c>
      <c r="AA48" t="s">
        <v>67</v>
      </c>
    </row>
    <row r="49" spans="1:27" x14ac:dyDescent="0.2">
      <c r="A49" s="27" t="s">
        <v>54</v>
      </c>
      <c r="B49" s="3">
        <v>2</v>
      </c>
      <c r="C49" s="3" t="s">
        <v>7</v>
      </c>
      <c r="D49" s="7">
        <v>46247</v>
      </c>
      <c r="E49">
        <f t="shared" si="0"/>
        <v>0</v>
      </c>
      <c r="F49">
        <f t="shared" si="1"/>
        <v>30</v>
      </c>
      <c r="G49" s="8">
        <v>2</v>
      </c>
      <c r="H49" s="9">
        <v>30</v>
      </c>
      <c r="P49">
        <v>40</v>
      </c>
      <c r="Q49" s="3" t="s">
        <v>31</v>
      </c>
      <c r="R49" s="3">
        <v>310</v>
      </c>
      <c r="S49" s="3">
        <v>1680</v>
      </c>
      <c r="T49" s="3">
        <v>2032</v>
      </c>
      <c r="U49" s="3">
        <v>1731</v>
      </c>
      <c r="V49" s="3"/>
      <c r="W49" s="3">
        <v>304</v>
      </c>
      <c r="AA49" t="s">
        <v>67</v>
      </c>
    </row>
    <row r="50" spans="1:27" x14ac:dyDescent="0.2">
      <c r="A50" s="27" t="s">
        <v>54</v>
      </c>
      <c r="B50" s="3">
        <v>3</v>
      </c>
      <c r="C50" s="3" t="s">
        <v>7</v>
      </c>
      <c r="D50" s="7">
        <v>46247</v>
      </c>
      <c r="E50">
        <f t="shared" si="0"/>
        <v>0</v>
      </c>
      <c r="F50">
        <f t="shared" si="1"/>
        <v>35</v>
      </c>
      <c r="G50" s="8">
        <v>2</v>
      </c>
      <c r="H50" s="9">
        <v>35</v>
      </c>
      <c r="P50">
        <v>40</v>
      </c>
      <c r="Q50" s="3" t="s">
        <v>31</v>
      </c>
      <c r="R50" s="3">
        <v>310</v>
      </c>
      <c r="S50" s="3">
        <v>1680</v>
      </c>
      <c r="T50" s="3">
        <v>2032</v>
      </c>
      <c r="U50" s="3">
        <v>1731</v>
      </c>
      <c r="V50" s="3"/>
      <c r="W50" s="3">
        <v>304</v>
      </c>
      <c r="AA50" t="s">
        <v>67</v>
      </c>
    </row>
    <row r="51" spans="1:27" x14ac:dyDescent="0.2">
      <c r="A51" s="27" t="s">
        <v>54</v>
      </c>
      <c r="B51" s="3">
        <v>4</v>
      </c>
      <c r="C51" s="3" t="s">
        <v>7</v>
      </c>
      <c r="D51" s="7">
        <v>46247</v>
      </c>
      <c r="E51">
        <f t="shared" si="0"/>
        <v>0</v>
      </c>
      <c r="F51">
        <f t="shared" si="1"/>
        <v>40</v>
      </c>
      <c r="G51" s="8">
        <v>2</v>
      </c>
      <c r="H51" s="9">
        <v>40</v>
      </c>
      <c r="P51">
        <v>40</v>
      </c>
      <c r="Q51" s="3" t="s">
        <v>31</v>
      </c>
      <c r="R51" s="3">
        <v>310</v>
      </c>
      <c r="S51" s="3">
        <v>1680</v>
      </c>
      <c r="T51" s="3">
        <v>2032</v>
      </c>
      <c r="U51" s="3">
        <v>1731</v>
      </c>
      <c r="V51" s="3"/>
      <c r="W51" s="3">
        <v>304</v>
      </c>
      <c r="AA51" t="s">
        <v>67</v>
      </c>
    </row>
    <row r="52" spans="1:27" s="1" customFormat="1" x14ac:dyDescent="0.2">
      <c r="A52" s="26" t="s">
        <v>55</v>
      </c>
      <c r="B52" s="2">
        <v>1</v>
      </c>
      <c r="C52" s="2" t="s">
        <v>7</v>
      </c>
      <c r="D52" s="4">
        <v>46247</v>
      </c>
      <c r="E52" s="1">
        <f t="shared" si="0"/>
        <v>2</v>
      </c>
      <c r="F52" s="1">
        <f t="shared" si="1"/>
        <v>10</v>
      </c>
      <c r="G52" s="5">
        <v>4</v>
      </c>
      <c r="H52" s="6">
        <v>10</v>
      </c>
      <c r="P52" s="1">
        <v>40</v>
      </c>
      <c r="Q52" s="2" t="s">
        <v>31</v>
      </c>
      <c r="R52" s="2">
        <v>310</v>
      </c>
      <c r="S52" s="2">
        <v>1680</v>
      </c>
      <c r="T52" s="2">
        <v>2032</v>
      </c>
      <c r="U52" s="2">
        <v>1731</v>
      </c>
      <c r="V52" s="2"/>
      <c r="W52" s="2">
        <v>304</v>
      </c>
      <c r="AA52" s="1" t="s">
        <v>67</v>
      </c>
    </row>
    <row r="53" spans="1:27" s="1" customFormat="1" x14ac:dyDescent="0.2">
      <c r="A53" s="26" t="s">
        <v>55</v>
      </c>
      <c r="B53" s="2">
        <v>2</v>
      </c>
      <c r="C53" s="2" t="s">
        <v>7</v>
      </c>
      <c r="D53" s="4">
        <v>46247</v>
      </c>
      <c r="E53" s="1">
        <f t="shared" si="0"/>
        <v>2</v>
      </c>
      <c r="F53" s="1">
        <f t="shared" si="1"/>
        <v>15</v>
      </c>
      <c r="G53" s="5">
        <v>4</v>
      </c>
      <c r="H53" s="6">
        <v>15</v>
      </c>
      <c r="P53" s="1">
        <v>40</v>
      </c>
      <c r="Q53" s="2" t="s">
        <v>31</v>
      </c>
      <c r="R53" s="2">
        <v>310</v>
      </c>
      <c r="S53" s="2">
        <v>1680</v>
      </c>
      <c r="T53" s="2">
        <v>2032</v>
      </c>
      <c r="U53" s="2">
        <v>1731</v>
      </c>
      <c r="V53" s="2"/>
      <c r="W53" s="2">
        <v>304</v>
      </c>
      <c r="AA53" s="1" t="s">
        <v>67</v>
      </c>
    </row>
    <row r="54" spans="1:27" s="1" customFormat="1" x14ac:dyDescent="0.2">
      <c r="A54" s="26" t="s">
        <v>55</v>
      </c>
      <c r="B54" s="2">
        <v>3</v>
      </c>
      <c r="C54" s="2" t="s">
        <v>7</v>
      </c>
      <c r="D54" s="4">
        <v>46247</v>
      </c>
      <c r="E54" s="1">
        <f t="shared" si="0"/>
        <v>2</v>
      </c>
      <c r="F54" s="1">
        <f t="shared" si="1"/>
        <v>20</v>
      </c>
      <c r="G54" s="5">
        <v>4</v>
      </c>
      <c r="H54" s="6">
        <v>20</v>
      </c>
      <c r="P54" s="1">
        <v>40</v>
      </c>
      <c r="Q54" s="2" t="s">
        <v>31</v>
      </c>
      <c r="R54" s="2">
        <v>310</v>
      </c>
      <c r="S54" s="2">
        <v>1680</v>
      </c>
      <c r="T54" s="2">
        <v>2032</v>
      </c>
      <c r="U54" s="2">
        <v>1731</v>
      </c>
      <c r="V54" s="2"/>
      <c r="W54" s="2">
        <v>304</v>
      </c>
      <c r="AA54" s="1" t="s">
        <v>67</v>
      </c>
    </row>
    <row r="55" spans="1:27" s="1" customFormat="1" x14ac:dyDescent="0.2">
      <c r="A55" s="26" t="s">
        <v>55</v>
      </c>
      <c r="B55" s="2">
        <v>4</v>
      </c>
      <c r="C55" s="2" t="s">
        <v>7</v>
      </c>
      <c r="D55" s="4">
        <v>46247</v>
      </c>
      <c r="E55" s="1">
        <f t="shared" si="0"/>
        <v>2</v>
      </c>
      <c r="F55" s="1">
        <f t="shared" si="1"/>
        <v>25</v>
      </c>
      <c r="G55" s="5">
        <v>4</v>
      </c>
      <c r="H55" s="6">
        <v>25</v>
      </c>
      <c r="P55" s="1">
        <v>40</v>
      </c>
      <c r="Q55" s="2" t="s">
        <v>31</v>
      </c>
      <c r="R55" s="2">
        <v>310</v>
      </c>
      <c r="S55" s="2">
        <v>1680</v>
      </c>
      <c r="T55" s="2">
        <v>2032</v>
      </c>
      <c r="U55" s="2">
        <v>1731</v>
      </c>
      <c r="V55" s="2"/>
      <c r="W55" s="2">
        <v>304</v>
      </c>
      <c r="AA55" s="1" t="s">
        <v>67</v>
      </c>
    </row>
    <row r="56" spans="1:27" x14ac:dyDescent="0.2">
      <c r="A56" s="27" t="s">
        <v>56</v>
      </c>
      <c r="B56" s="3">
        <v>1</v>
      </c>
      <c r="C56" s="3" t="s">
        <v>7</v>
      </c>
      <c r="D56" s="7">
        <v>46247</v>
      </c>
      <c r="E56">
        <f t="shared" si="0"/>
        <v>4</v>
      </c>
      <c r="F56">
        <f t="shared" si="1"/>
        <v>10</v>
      </c>
      <c r="G56" s="8">
        <v>6</v>
      </c>
      <c r="H56" s="9">
        <v>10</v>
      </c>
      <c r="P56">
        <v>40</v>
      </c>
      <c r="Q56" s="3" t="s">
        <v>31</v>
      </c>
      <c r="R56" s="3">
        <v>310</v>
      </c>
      <c r="S56" s="3">
        <v>1680</v>
      </c>
      <c r="T56" s="3">
        <v>2032</v>
      </c>
      <c r="U56" s="3">
        <v>1731</v>
      </c>
      <c r="V56" s="3"/>
      <c r="W56" s="3">
        <v>304</v>
      </c>
      <c r="Z56" t="s">
        <v>37</v>
      </c>
      <c r="AA56" t="s">
        <v>67</v>
      </c>
    </row>
    <row r="57" spans="1:27" x14ac:dyDescent="0.2">
      <c r="A57" s="27" t="s">
        <v>56</v>
      </c>
      <c r="B57" s="3">
        <v>2</v>
      </c>
      <c r="C57" s="3" t="s">
        <v>7</v>
      </c>
      <c r="D57" s="7">
        <v>46247</v>
      </c>
      <c r="E57">
        <f t="shared" si="0"/>
        <v>4</v>
      </c>
      <c r="F57">
        <f t="shared" si="1"/>
        <v>18</v>
      </c>
      <c r="G57" s="8">
        <v>6</v>
      </c>
      <c r="H57" s="9">
        <v>18</v>
      </c>
      <c r="P57">
        <v>40</v>
      </c>
      <c r="Q57" s="3" t="s">
        <v>31</v>
      </c>
      <c r="R57" s="3">
        <v>310</v>
      </c>
      <c r="S57" s="3">
        <v>1680</v>
      </c>
      <c r="T57" s="3">
        <v>2032</v>
      </c>
      <c r="U57" s="3">
        <v>1731</v>
      </c>
      <c r="V57" s="3"/>
      <c r="W57" s="3">
        <v>304</v>
      </c>
      <c r="Z57" t="s">
        <v>37</v>
      </c>
      <c r="AA57" t="s">
        <v>67</v>
      </c>
    </row>
    <row r="58" spans="1:27" x14ac:dyDescent="0.2">
      <c r="A58" s="27" t="s">
        <v>56</v>
      </c>
      <c r="B58" s="3">
        <v>3</v>
      </c>
      <c r="C58" s="3" t="s">
        <v>7</v>
      </c>
      <c r="D58" s="7">
        <v>46247</v>
      </c>
      <c r="E58">
        <f t="shared" si="0"/>
        <v>4</v>
      </c>
      <c r="F58">
        <f t="shared" si="1"/>
        <v>25</v>
      </c>
      <c r="G58" s="8">
        <v>6</v>
      </c>
      <c r="H58" s="9">
        <v>25</v>
      </c>
      <c r="P58">
        <v>40</v>
      </c>
      <c r="Q58" s="3" t="s">
        <v>31</v>
      </c>
      <c r="R58" s="3">
        <v>310</v>
      </c>
      <c r="S58" s="3">
        <v>1680</v>
      </c>
      <c r="T58" s="3">
        <v>2032</v>
      </c>
      <c r="U58" s="3">
        <v>1731</v>
      </c>
      <c r="V58" s="3"/>
      <c r="W58" s="3">
        <v>304</v>
      </c>
      <c r="Z58" t="s">
        <v>37</v>
      </c>
      <c r="AA58" t="s">
        <v>67</v>
      </c>
    </row>
    <row r="59" spans="1:27" x14ac:dyDescent="0.2">
      <c r="A59" s="27" t="s">
        <v>56</v>
      </c>
      <c r="B59" s="3">
        <v>4</v>
      </c>
      <c r="C59" s="3" t="s">
        <v>7</v>
      </c>
      <c r="D59" s="7">
        <v>46247</v>
      </c>
      <c r="E59">
        <f t="shared" si="0"/>
        <v>4</v>
      </c>
      <c r="F59">
        <f t="shared" si="1"/>
        <v>32</v>
      </c>
      <c r="G59" s="8">
        <v>6</v>
      </c>
      <c r="H59" s="9">
        <v>32</v>
      </c>
      <c r="P59">
        <v>40</v>
      </c>
      <c r="Q59" s="3" t="s">
        <v>31</v>
      </c>
      <c r="R59" s="3">
        <v>310</v>
      </c>
      <c r="S59" s="3">
        <v>1680</v>
      </c>
      <c r="T59" s="3">
        <v>2032</v>
      </c>
      <c r="U59" s="3">
        <v>1731</v>
      </c>
      <c r="V59" s="3"/>
      <c r="W59" s="3">
        <v>304</v>
      </c>
      <c r="Z59" t="s">
        <v>37</v>
      </c>
      <c r="AA59" t="s">
        <v>67</v>
      </c>
    </row>
    <row r="60" spans="1:27" s="1" customFormat="1" x14ac:dyDescent="0.2">
      <c r="A60" s="26" t="s">
        <v>57</v>
      </c>
      <c r="B60" s="2">
        <v>1</v>
      </c>
      <c r="C60" s="2" t="s">
        <v>35</v>
      </c>
      <c r="D60" s="4">
        <v>46247</v>
      </c>
      <c r="E60" s="1">
        <f t="shared" si="0"/>
        <v>4</v>
      </c>
      <c r="F60" s="1">
        <f t="shared" si="1"/>
        <v>54</v>
      </c>
      <c r="G60" s="5">
        <v>6</v>
      </c>
      <c r="H60" s="6">
        <v>54</v>
      </c>
      <c r="P60" s="1">
        <v>40</v>
      </c>
      <c r="Q60" s="2" t="s">
        <v>31</v>
      </c>
      <c r="R60" s="2">
        <v>310</v>
      </c>
      <c r="S60" s="2">
        <v>1680</v>
      </c>
      <c r="T60" s="2">
        <v>2032</v>
      </c>
      <c r="U60" s="2">
        <v>1731</v>
      </c>
      <c r="V60" s="2"/>
      <c r="W60" s="2">
        <v>304</v>
      </c>
      <c r="Z60" s="1" t="s">
        <v>62</v>
      </c>
      <c r="AA60" s="1" t="s">
        <v>68</v>
      </c>
    </row>
    <row r="61" spans="1:27" s="1" customFormat="1" x14ac:dyDescent="0.2">
      <c r="A61" s="26" t="s">
        <v>57</v>
      </c>
      <c r="B61" s="2">
        <v>2</v>
      </c>
      <c r="C61" s="2" t="s">
        <v>35</v>
      </c>
      <c r="D61" s="4">
        <v>46247</v>
      </c>
      <c r="E61" s="1">
        <f t="shared" si="0"/>
        <v>5</v>
      </c>
      <c r="F61" s="1">
        <f t="shared" si="1"/>
        <v>4</v>
      </c>
      <c r="G61" s="5">
        <v>7</v>
      </c>
      <c r="H61" s="6">
        <v>4</v>
      </c>
      <c r="P61" s="1">
        <v>40</v>
      </c>
      <c r="Q61" s="2" t="s">
        <v>31</v>
      </c>
      <c r="R61" s="2">
        <v>310</v>
      </c>
      <c r="S61" s="2">
        <v>1680</v>
      </c>
      <c r="T61" s="2">
        <v>2032</v>
      </c>
      <c r="U61" s="2">
        <v>1731</v>
      </c>
      <c r="V61" s="2"/>
      <c r="W61" s="2">
        <v>304</v>
      </c>
      <c r="Z61" s="1" t="s">
        <v>37</v>
      </c>
      <c r="AA61" s="1" t="s">
        <v>68</v>
      </c>
    </row>
    <row r="62" spans="1:27" s="1" customFormat="1" x14ac:dyDescent="0.2">
      <c r="A62" s="26" t="s">
        <v>57</v>
      </c>
      <c r="B62" s="2">
        <v>3</v>
      </c>
      <c r="C62" s="2" t="s">
        <v>35</v>
      </c>
      <c r="D62" s="4">
        <v>46247</v>
      </c>
      <c r="E62" s="1">
        <f t="shared" si="0"/>
        <v>5</v>
      </c>
      <c r="F62" s="1">
        <f t="shared" si="1"/>
        <v>19</v>
      </c>
      <c r="G62" s="5">
        <v>7</v>
      </c>
      <c r="H62" s="6">
        <v>19</v>
      </c>
      <c r="P62" s="1">
        <v>40</v>
      </c>
      <c r="Q62" s="2" t="s">
        <v>31</v>
      </c>
      <c r="R62" s="2">
        <v>310</v>
      </c>
      <c r="S62" s="2">
        <v>1680</v>
      </c>
      <c r="T62" s="2">
        <v>2032</v>
      </c>
      <c r="U62" s="2">
        <v>1731</v>
      </c>
      <c r="V62" s="2"/>
      <c r="W62" s="2">
        <v>304</v>
      </c>
      <c r="Z62" s="1" t="s">
        <v>37</v>
      </c>
      <c r="AA62" s="1" t="s">
        <v>68</v>
      </c>
    </row>
    <row r="63" spans="1:27" s="1" customFormat="1" x14ac:dyDescent="0.2">
      <c r="A63" s="26" t="s">
        <v>57</v>
      </c>
      <c r="B63" s="2">
        <v>4</v>
      </c>
      <c r="C63" s="2" t="s">
        <v>35</v>
      </c>
      <c r="D63" s="4">
        <v>46247</v>
      </c>
      <c r="E63" s="1">
        <f t="shared" si="0"/>
        <v>5</v>
      </c>
      <c r="F63" s="1">
        <f t="shared" si="1"/>
        <v>40</v>
      </c>
      <c r="G63" s="5">
        <v>7</v>
      </c>
      <c r="H63" s="6">
        <v>40</v>
      </c>
      <c r="P63" s="1">
        <v>40</v>
      </c>
      <c r="Q63" s="2" t="s">
        <v>31</v>
      </c>
      <c r="R63" s="2">
        <v>310</v>
      </c>
      <c r="S63" s="2">
        <v>1680</v>
      </c>
      <c r="T63" s="2">
        <v>2032</v>
      </c>
      <c r="U63" s="2">
        <v>1731</v>
      </c>
      <c r="V63" s="2"/>
      <c r="W63" s="2">
        <v>304</v>
      </c>
      <c r="Z63" s="1" t="s">
        <v>61</v>
      </c>
      <c r="AA63" s="1" t="s">
        <v>68</v>
      </c>
    </row>
    <row r="64" spans="1:27" s="1" customFormat="1" x14ac:dyDescent="0.2">
      <c r="A64" s="26" t="s">
        <v>57</v>
      </c>
      <c r="B64" s="2">
        <v>5</v>
      </c>
      <c r="C64" s="2" t="s">
        <v>35</v>
      </c>
      <c r="D64" s="4">
        <v>46247</v>
      </c>
      <c r="E64" s="1">
        <f t="shared" si="0"/>
        <v>5</v>
      </c>
      <c r="F64" s="1">
        <f t="shared" si="1"/>
        <v>52</v>
      </c>
      <c r="G64" s="5">
        <v>7</v>
      </c>
      <c r="H64" s="6">
        <v>52</v>
      </c>
      <c r="P64" s="1">
        <v>40</v>
      </c>
      <c r="Q64" s="2" t="s">
        <v>31</v>
      </c>
      <c r="R64" s="2">
        <v>310</v>
      </c>
      <c r="S64" s="2">
        <v>1680</v>
      </c>
      <c r="T64" s="2">
        <v>2032</v>
      </c>
      <c r="U64" s="2">
        <v>1731</v>
      </c>
      <c r="V64" s="2"/>
      <c r="W64" s="2">
        <v>304</v>
      </c>
      <c r="Z64" s="1" t="s">
        <v>37</v>
      </c>
      <c r="AA64" s="1" t="s">
        <v>68</v>
      </c>
    </row>
    <row r="65" spans="1:27" s="1" customFormat="1" x14ac:dyDescent="0.2">
      <c r="A65" s="26" t="s">
        <v>57</v>
      </c>
      <c r="B65" s="2">
        <v>6</v>
      </c>
      <c r="C65" s="2" t="s">
        <v>35</v>
      </c>
      <c r="D65" s="4">
        <v>46247</v>
      </c>
      <c r="E65" s="1">
        <f t="shared" si="0"/>
        <v>6</v>
      </c>
      <c r="F65" s="1">
        <f t="shared" si="1"/>
        <v>3</v>
      </c>
      <c r="G65" s="5">
        <v>8</v>
      </c>
      <c r="H65" s="6">
        <v>3</v>
      </c>
      <c r="P65" s="1">
        <v>40</v>
      </c>
      <c r="Q65" s="2" t="s">
        <v>31</v>
      </c>
      <c r="R65" s="2">
        <v>310</v>
      </c>
      <c r="S65" s="2">
        <v>1680</v>
      </c>
      <c r="T65" s="2">
        <v>2032</v>
      </c>
      <c r="U65" s="2">
        <v>1731</v>
      </c>
      <c r="V65" s="2"/>
      <c r="W65" s="2">
        <v>304</v>
      </c>
      <c r="Z65" s="1" t="s">
        <v>37</v>
      </c>
      <c r="AA65" s="1" t="s">
        <v>68</v>
      </c>
    </row>
    <row r="66" spans="1:27" x14ac:dyDescent="0.2">
      <c r="A66" s="27" t="s">
        <v>58</v>
      </c>
      <c r="B66" s="3">
        <v>1</v>
      </c>
      <c r="C66" s="3" t="s">
        <v>35</v>
      </c>
      <c r="D66" s="7">
        <v>46247</v>
      </c>
      <c r="E66">
        <f t="shared" si="0"/>
        <v>6</v>
      </c>
      <c r="F66">
        <f t="shared" si="1"/>
        <v>32</v>
      </c>
      <c r="G66" s="8">
        <v>8</v>
      </c>
      <c r="H66" s="9">
        <v>32</v>
      </c>
      <c r="P66">
        <v>40</v>
      </c>
      <c r="Q66" s="3" t="s">
        <v>31</v>
      </c>
      <c r="R66" s="3">
        <v>310</v>
      </c>
      <c r="S66" s="3">
        <v>1680</v>
      </c>
      <c r="T66" s="3">
        <v>2032</v>
      </c>
      <c r="U66" s="3">
        <v>1731</v>
      </c>
      <c r="V66" s="3"/>
      <c r="W66" s="3">
        <v>304</v>
      </c>
      <c r="Z66" t="s">
        <v>37</v>
      </c>
      <c r="AA66" t="s">
        <v>65</v>
      </c>
    </row>
    <row r="67" spans="1:27" x14ac:dyDescent="0.2">
      <c r="A67" s="27" t="s">
        <v>58</v>
      </c>
      <c r="B67" s="3">
        <v>2</v>
      </c>
      <c r="C67" s="3" t="s">
        <v>35</v>
      </c>
      <c r="D67" s="7">
        <v>46247</v>
      </c>
      <c r="E67">
        <f t="shared" si="0"/>
        <v>6</v>
      </c>
      <c r="F67">
        <f t="shared" si="1"/>
        <v>39</v>
      </c>
      <c r="G67" s="8">
        <v>8</v>
      </c>
      <c r="H67" s="9">
        <v>39</v>
      </c>
      <c r="P67">
        <v>40</v>
      </c>
      <c r="Q67" s="3" t="s">
        <v>31</v>
      </c>
      <c r="R67" s="3">
        <v>310</v>
      </c>
      <c r="S67" s="3">
        <v>1680</v>
      </c>
      <c r="T67" s="3">
        <v>2032</v>
      </c>
      <c r="U67" s="3">
        <v>1731</v>
      </c>
      <c r="V67" s="3"/>
      <c r="W67" s="3">
        <v>304</v>
      </c>
      <c r="Z67" t="s">
        <v>60</v>
      </c>
      <c r="AA67" t="s">
        <v>65</v>
      </c>
    </row>
    <row r="68" spans="1:27" x14ac:dyDescent="0.2">
      <c r="A68" s="27" t="s">
        <v>58</v>
      </c>
      <c r="B68" s="3">
        <v>3</v>
      </c>
      <c r="C68" s="3" t="s">
        <v>35</v>
      </c>
      <c r="D68" s="7">
        <v>46247</v>
      </c>
      <c r="E68">
        <f t="shared" si="0"/>
        <v>6</v>
      </c>
      <c r="F68">
        <f t="shared" si="1"/>
        <v>54</v>
      </c>
      <c r="G68" s="8">
        <v>8</v>
      </c>
      <c r="H68" s="9">
        <v>54</v>
      </c>
      <c r="P68">
        <v>40</v>
      </c>
      <c r="Q68" s="3" t="s">
        <v>31</v>
      </c>
      <c r="R68" s="3">
        <v>310</v>
      </c>
      <c r="S68" s="3">
        <v>1680</v>
      </c>
      <c r="T68" s="3">
        <v>2032</v>
      </c>
      <c r="U68" s="3">
        <v>1731</v>
      </c>
      <c r="V68" s="3"/>
      <c r="W68" s="3">
        <v>304</v>
      </c>
      <c r="Z68" t="s">
        <v>59</v>
      </c>
      <c r="AA68" t="s">
        <v>65</v>
      </c>
    </row>
    <row r="69" spans="1:27" x14ac:dyDescent="0.2">
      <c r="A69" s="27" t="s">
        <v>58</v>
      </c>
      <c r="B69" s="3">
        <v>4</v>
      </c>
      <c r="C69" s="3" t="s">
        <v>35</v>
      </c>
      <c r="D69" s="7">
        <v>46247</v>
      </c>
      <c r="E69">
        <f t="shared" si="0"/>
        <v>7</v>
      </c>
      <c r="F69">
        <f t="shared" si="1"/>
        <v>8</v>
      </c>
      <c r="G69" s="8">
        <v>9</v>
      </c>
      <c r="H69" s="9">
        <v>8</v>
      </c>
      <c r="P69">
        <v>40</v>
      </c>
      <c r="Q69" s="3" t="s">
        <v>31</v>
      </c>
      <c r="R69" s="3">
        <v>310</v>
      </c>
      <c r="S69" s="3">
        <v>1680</v>
      </c>
      <c r="T69" s="3">
        <v>2032</v>
      </c>
      <c r="U69" s="3">
        <v>1731</v>
      </c>
      <c r="V69" s="3"/>
      <c r="W69" s="3">
        <v>304</v>
      </c>
      <c r="Z69" t="s">
        <v>37</v>
      </c>
      <c r="AA69" t="s">
        <v>65</v>
      </c>
    </row>
    <row r="70" spans="1:27" x14ac:dyDescent="0.2">
      <c r="A70" s="27" t="s">
        <v>58</v>
      </c>
      <c r="B70" s="3">
        <v>5</v>
      </c>
      <c r="C70" s="3" t="s">
        <v>35</v>
      </c>
      <c r="D70" s="7">
        <v>46247</v>
      </c>
      <c r="E70">
        <f t="shared" si="0"/>
        <v>7</v>
      </c>
      <c r="F70">
        <f t="shared" si="1"/>
        <v>28</v>
      </c>
      <c r="G70" s="8">
        <v>9</v>
      </c>
      <c r="H70" s="9">
        <v>28</v>
      </c>
      <c r="P70">
        <v>40</v>
      </c>
      <c r="Q70" s="3" t="s">
        <v>31</v>
      </c>
      <c r="R70" s="3">
        <v>310</v>
      </c>
      <c r="S70" s="3">
        <v>1680</v>
      </c>
      <c r="T70" s="3">
        <v>2032</v>
      </c>
      <c r="U70" s="3">
        <v>1731</v>
      </c>
      <c r="V70" s="3"/>
      <c r="W70" s="3">
        <v>304</v>
      </c>
      <c r="Z70" t="s">
        <v>37</v>
      </c>
      <c r="AA70" t="s">
        <v>65</v>
      </c>
    </row>
    <row r="71" spans="1:27" x14ac:dyDescent="0.2">
      <c r="A71" s="27" t="s">
        <v>58</v>
      </c>
      <c r="B71" s="3">
        <v>6</v>
      </c>
      <c r="C71" s="3" t="s">
        <v>35</v>
      </c>
      <c r="D71" s="7">
        <v>46247</v>
      </c>
      <c r="E71">
        <f t="shared" si="0"/>
        <v>7</v>
      </c>
      <c r="F71">
        <f t="shared" si="1"/>
        <v>35</v>
      </c>
      <c r="G71" s="8">
        <v>9</v>
      </c>
      <c r="H71" s="9">
        <v>35</v>
      </c>
      <c r="P71">
        <v>40</v>
      </c>
      <c r="Q71" s="3" t="s">
        <v>31</v>
      </c>
      <c r="R71" s="3">
        <v>310</v>
      </c>
      <c r="S71" s="3">
        <v>1680</v>
      </c>
      <c r="T71" s="3">
        <v>2032</v>
      </c>
      <c r="U71" s="3">
        <v>1731</v>
      </c>
      <c r="V71" s="3"/>
      <c r="W71" s="3">
        <v>304</v>
      </c>
      <c r="Z71" t="s">
        <v>37</v>
      </c>
      <c r="AA71" t="s">
        <v>65</v>
      </c>
    </row>
    <row r="72" spans="1:27" s="1" customFormat="1" x14ac:dyDescent="0.2">
      <c r="A72" s="26" t="s">
        <v>63</v>
      </c>
      <c r="B72" s="2">
        <v>1</v>
      </c>
      <c r="C72" s="2" t="s">
        <v>7</v>
      </c>
      <c r="D72" s="4">
        <v>46247</v>
      </c>
      <c r="E72" s="1">
        <f t="shared" si="0"/>
        <v>8</v>
      </c>
      <c r="F72" s="1">
        <f t="shared" si="1"/>
        <v>30</v>
      </c>
      <c r="G72" s="5">
        <v>10</v>
      </c>
      <c r="H72" s="6">
        <v>30</v>
      </c>
      <c r="P72" s="1">
        <v>35</v>
      </c>
      <c r="Q72" s="2" t="s">
        <v>31</v>
      </c>
      <c r="R72" s="2">
        <v>310</v>
      </c>
      <c r="S72" s="2">
        <v>1680</v>
      </c>
      <c r="T72" s="2">
        <v>2032</v>
      </c>
      <c r="U72" s="2">
        <v>1731</v>
      </c>
      <c r="V72" s="2"/>
      <c r="W72" s="2">
        <v>304</v>
      </c>
      <c r="Z72" s="1" t="s">
        <v>37</v>
      </c>
      <c r="AA72" s="1" t="s">
        <v>68</v>
      </c>
    </row>
    <row r="73" spans="1:27" s="1" customFormat="1" x14ac:dyDescent="0.2">
      <c r="A73" s="26" t="s">
        <v>63</v>
      </c>
      <c r="B73" s="2">
        <v>2</v>
      </c>
      <c r="C73" s="2" t="s">
        <v>7</v>
      </c>
      <c r="D73" s="4">
        <v>46247</v>
      </c>
      <c r="E73" s="1">
        <f t="shared" si="0"/>
        <v>8</v>
      </c>
      <c r="F73" s="1">
        <f t="shared" si="1"/>
        <v>40</v>
      </c>
      <c r="G73" s="5">
        <v>10</v>
      </c>
      <c r="H73" s="6">
        <v>40</v>
      </c>
      <c r="P73" s="1">
        <v>35</v>
      </c>
      <c r="Q73" s="2" t="s">
        <v>31</v>
      </c>
      <c r="R73" s="2">
        <v>310</v>
      </c>
      <c r="S73" s="2">
        <v>1680</v>
      </c>
      <c r="T73" s="2">
        <v>2032</v>
      </c>
      <c r="U73" s="2">
        <v>1731</v>
      </c>
      <c r="V73" s="2"/>
      <c r="W73" s="2">
        <v>304</v>
      </c>
      <c r="Z73" s="1" t="s">
        <v>37</v>
      </c>
      <c r="AA73" s="1" t="s">
        <v>68</v>
      </c>
    </row>
    <row r="74" spans="1:27" s="1" customFormat="1" x14ac:dyDescent="0.2">
      <c r="A74" s="26" t="s">
        <v>63</v>
      </c>
      <c r="B74" s="2">
        <v>3</v>
      </c>
      <c r="C74" s="2" t="s">
        <v>7</v>
      </c>
      <c r="D74" s="4">
        <v>46247</v>
      </c>
      <c r="E74" s="1">
        <f t="shared" si="0"/>
        <v>8</v>
      </c>
      <c r="F74" s="1">
        <f t="shared" si="1"/>
        <v>47</v>
      </c>
      <c r="G74" s="5">
        <v>10</v>
      </c>
      <c r="H74" s="6">
        <v>47</v>
      </c>
      <c r="P74" s="1">
        <v>35</v>
      </c>
      <c r="Q74" s="2" t="s">
        <v>31</v>
      </c>
      <c r="R74" s="2">
        <v>310</v>
      </c>
      <c r="S74" s="2">
        <v>1680</v>
      </c>
      <c r="T74" s="2">
        <v>2032</v>
      </c>
      <c r="U74" s="2">
        <v>1731</v>
      </c>
      <c r="V74" s="2"/>
      <c r="W74" s="2">
        <v>304</v>
      </c>
      <c r="Z74" s="1" t="s">
        <v>37</v>
      </c>
      <c r="AA74" s="1" t="s">
        <v>68</v>
      </c>
    </row>
    <row r="75" spans="1:27" s="1" customFormat="1" x14ac:dyDescent="0.2">
      <c r="A75" s="26" t="s">
        <v>63</v>
      </c>
      <c r="B75" s="2">
        <v>4</v>
      </c>
      <c r="C75" s="2" t="s">
        <v>7</v>
      </c>
      <c r="D75" s="4">
        <v>46247</v>
      </c>
      <c r="E75" s="1">
        <f t="shared" si="0"/>
        <v>8</v>
      </c>
      <c r="F75" s="1">
        <f t="shared" si="1"/>
        <v>55</v>
      </c>
      <c r="G75" s="5">
        <v>10</v>
      </c>
      <c r="H75" s="6">
        <v>55</v>
      </c>
      <c r="P75" s="1">
        <v>35</v>
      </c>
      <c r="Q75" s="2" t="s">
        <v>31</v>
      </c>
      <c r="R75" s="2">
        <v>310</v>
      </c>
      <c r="S75" s="2">
        <v>1680</v>
      </c>
      <c r="T75" s="2">
        <v>2032</v>
      </c>
      <c r="U75" s="2">
        <v>1731</v>
      </c>
      <c r="V75" s="2"/>
      <c r="W75" s="2">
        <v>304</v>
      </c>
      <c r="Z75" s="1" t="s">
        <v>37</v>
      </c>
      <c r="AA75" s="1" t="s">
        <v>68</v>
      </c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Logbook_Geneva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Cassano</dc:creator>
  <cp:lastModifiedBy>Louise Noël Du Payrat</cp:lastModifiedBy>
  <dcterms:created xsi:type="dcterms:W3CDTF">2017-03-05T11:06:59Z</dcterms:created>
  <dcterms:modified xsi:type="dcterms:W3CDTF">2026-08-14T09:56:16Z</dcterms:modified>
</cp:coreProperties>
</file>